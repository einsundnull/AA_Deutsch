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ing" sheetId="1" state="visible" r:id="rId3"/>
    <sheet name="Berechnung" sheetId="2" state="visible" r:id="rId4"/>
    <sheet name="April" sheetId="3" state="visible" r:id="rId5"/>
    <sheet name="Mai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<sst xmlns="http://schemas.openxmlformats.org/spreadsheetml/2006/main" count="122" uniqueCount="59">
  <si>
    <t xml:space="preserve">Kenny kündigt Abbo</t>
  </si>
  <si>
    <t xml:space="preserve">Preply schreibt wegen Kindern</t>
  </si>
  <si>
    <t xml:space="preserve">05.05</t>
  </si>
  <si>
    <t xml:space="preserve">Position</t>
  </si>
  <si>
    <t xml:space="preserve">zeit umstellung</t>
  </si>
  <si>
    <t xml:space="preserve">Price</t>
  </si>
  <si>
    <t xml:space="preserve">25 - &gt; 19</t>
  </si>
  <si>
    <t xml:space="preserve">19 → 25</t>
  </si>
  <si>
    <t xml:space="preserve">25 → 23</t>
  </si>
  <si>
    <t xml:space="preserve">CheckTime</t>
  </si>
  <si>
    <t xml:space="preserve">Visitors 90 d</t>
  </si>
  <si>
    <t xml:space="preserve">Visitors 7 d</t>
  </si>
  <si>
    <t xml:space="preserve">h/Tag</t>
  </si>
  <si>
    <t xml:space="preserve">Conversion $/€</t>
  </si>
  <si>
    <t xml:space="preserve">Aufrufe 7/d</t>
  </si>
  <si>
    <t xml:space="preserve">Komission</t>
  </si>
  <si>
    <t xml:space="preserve">Preis</t>
  </si>
  <si>
    <t xml:space="preserve">21 → 18</t>
  </si>
  <si>
    <t xml:space="preserve">18 → 23</t>
  </si>
  <si>
    <t xml:space="preserve">23 → 16,5 → 20</t>
  </si>
  <si>
    <t xml:space="preserve">15 → 17</t>
  </si>
  <si>
    <t xml:space="preserve">Profil geändert</t>
  </si>
  <si>
    <t xml:space="preserve">Verfügbarkeit</t>
  </si>
  <si>
    <t xml:space="preserve">Hoped +</t>
  </si>
  <si>
    <t xml:space="preserve">APRIL</t>
  </si>
  <si>
    <t xml:space="preserve">End $</t>
  </si>
  <si>
    <t xml:space="preserve">End €</t>
  </si>
  <si>
    <t xml:space="preserve">Average/h $</t>
  </si>
  <si>
    <t xml:space="preserve">Average/h €</t>
  </si>
  <si>
    <t xml:space="preserve">Schüler Name</t>
  </si>
  <si>
    <t xml:space="preserve">Estrella W / Caleb</t>
  </si>
  <si>
    <t xml:space="preserve">Tatjana G. / David</t>
  </si>
  <si>
    <t xml:space="preserve">Kenny N.</t>
  </si>
  <si>
    <t xml:space="preserve">12.04</t>
  </si>
  <si>
    <t xml:space="preserve">Sanya S</t>
  </si>
  <si>
    <t xml:space="preserve">verlegt</t>
  </si>
  <si>
    <t xml:space="preserve">Gianmo</t>
  </si>
  <si>
    <t xml:space="preserve">Yasuko / Najut</t>
  </si>
  <si>
    <t xml:space="preserve">Fabe M. / Fabrice</t>
  </si>
  <si>
    <t xml:space="preserve">29.04</t>
  </si>
  <si>
    <t xml:space="preserve">Clara N.</t>
  </si>
  <si>
    <t xml:space="preserve">Hank S / Xiachui</t>
  </si>
  <si>
    <t xml:space="preserve">Andrada G.</t>
  </si>
  <si>
    <t xml:space="preserve">verpasst</t>
  </si>
  <si>
    <t xml:space="preserve">Daniel R.</t>
  </si>
  <si>
    <t xml:space="preserve">Dov</t>
  </si>
  <si>
    <t xml:space="preserve">Lyia</t>
  </si>
  <si>
    <t xml:space="preserve">Emile</t>
  </si>
  <si>
    <t xml:space="preserve">Rodrigo</t>
  </si>
  <si>
    <t xml:space="preserve">fav</t>
  </si>
  <si>
    <t xml:space="preserve">fav 2</t>
  </si>
  <si>
    <t xml:space="preserve">MAI</t>
  </si>
  <si>
    <t xml:space="preserve">John Doe</t>
  </si>
  <si>
    <t xml:space="preserve">Profile Score</t>
  </si>
  <si>
    <t xml:space="preserve">Visits</t>
  </si>
  <si>
    <t xml:space="preserve">17 → 25</t>
  </si>
  <si>
    <t xml:space="preserve">Fav. Seray</t>
  </si>
  <si>
    <t xml:space="preserve">Fr</t>
  </si>
  <si>
    <t xml:space="preserve">Rahpehl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</si>
</sst>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"/>
    <numFmt numFmtId="166" formatCode="hh:mm:ss"/>
    <numFmt numFmtId="167" formatCode="[$$-409]#,##0.00;[RED]\-[$$-409]#,##0.00"/>
    <numFmt numFmtId="168" formatCode="#,##0.00\ [$€-407];[RED]\-#,##0.00\ [$€-407]"/>
    <numFmt numFmtId="169" formatCode="[$-407]General"/>
    <numFmt numFmtId="170" formatCode="[$$-409]#,##0;[RED]\-[$$-409]#,##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9"/>
      <name val="Cambria"/>
      <family val="0"/>
      <charset val="1"/>
    </font>
    <font>
      <b val="true"/>
      <sz val="9"/>
      <name val="Arial"/>
      <family val="2"/>
      <charset val="1"/>
    </font>
    <font>
      <sz val="10"/>
      <color rgb="FF784B04"/>
      <name val="Arial"/>
      <family val="2"/>
      <charset val="1"/>
    </font>
    <font>
      <b val="true"/>
      <sz val="9"/>
      <color rgb="FF784B04"/>
      <name val="Cambria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D4EA6B"/>
        <bgColor rgb="FFDDE8CB"/>
      </patternFill>
    </fill>
    <fill>
      <patternFill patternType="solid">
        <fgColor rgb="FF81D41A"/>
        <bgColor rgb="FF77BC65"/>
      </patternFill>
    </fill>
    <fill>
      <patternFill patternType="solid">
        <fgColor rgb="FFFFB66C"/>
        <bgColor rgb="FFFFA6A6"/>
      </patternFill>
    </fill>
    <fill>
      <patternFill patternType="solid">
        <fgColor rgb="FFFF0000"/>
        <bgColor rgb="FF800000"/>
      </patternFill>
    </fill>
    <fill>
      <patternFill patternType="solid">
        <fgColor rgb="FF1D9E75"/>
        <bgColor rgb="FF008080"/>
      </patternFill>
    </fill>
    <fill>
      <patternFill patternType="solid">
        <fgColor rgb="FFFFBF00"/>
        <bgColor rgb="FFFF9900"/>
      </patternFill>
    </fill>
    <fill>
      <patternFill patternType="solid">
        <fgColor rgb="FFDDE8CB"/>
        <bgColor rgb="FFCCCCCC"/>
      </patternFill>
    </fill>
    <fill>
      <patternFill patternType="solid">
        <fgColor rgb="FF5983B0"/>
        <bgColor rgb="FF808080"/>
      </patternFill>
    </fill>
    <fill>
      <patternFill patternType="solid">
        <fgColor rgb="FFFFA6A6"/>
        <bgColor rgb="FFFFB66C"/>
      </patternFill>
    </fill>
    <fill>
      <patternFill patternType="solid">
        <fgColor rgb="FF77BC65"/>
        <bgColor rgb="FF81D41A"/>
      </patternFill>
    </fill>
    <fill>
      <patternFill patternType="solid">
        <fgColor rgb="FF00A933"/>
        <bgColor rgb="FF1D9E7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9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9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11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11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1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1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7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D4EA6B"/>
      <rgbColor rgb="FF99CCFF"/>
      <rgbColor rgb="FFFFA6A6"/>
      <rgbColor rgb="FFCC99FF"/>
      <rgbColor rgb="FFFFB66C"/>
      <rgbColor rgb="FF3366FF"/>
      <rgbColor rgb="FF33CCCC"/>
      <rgbColor rgb="FF81D41A"/>
      <rgbColor rgb="FFFFBF00"/>
      <rgbColor rgb="FFFF9900"/>
      <rgbColor rgb="FFFF6600"/>
      <rgbColor rgb="FF5983B0"/>
      <rgbColor rgb="FF77BC65"/>
      <rgbColor rgb="FF003366"/>
      <rgbColor rgb="FF1D9E75"/>
      <rgbColor rgb="FF003300"/>
      <rgbColor rgb="FF333300"/>
      <rgbColor rgb="FF784B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9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O9" activeCellId="0" sqref="O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81"/>
    <col collapsed="false" customWidth="true" hidden="false" outlineLevel="0" max="2" min="2" style="1" width="3.51"/>
    <col collapsed="false" customWidth="true" hidden="false" outlineLevel="0" max="3" min="3" style="1" width="5.47"/>
    <col collapsed="false" customWidth="true" hidden="false" outlineLevel="0" max="4" min="4" style="1" width="17.85"/>
    <col collapsed="false" customWidth="true" hidden="false" outlineLevel="0" max="5" min="5" style="1" width="26.05"/>
    <col collapsed="false" customWidth="true" hidden="false" outlineLevel="0" max="8" min="6" style="1" width="8.52"/>
  </cols>
  <sheetData>
    <row r="2" customFormat="false" ht="12.8" hidden="false" customHeight="false" outlineLevel="0" collapsed="false">
      <c r="D2" s="1" t="s">
        <v>0</v>
      </c>
      <c r="E2" s="1" t="s">
        <v>1</v>
      </c>
    </row>
    <row r="3" customFormat="false" ht="12.8" hidden="false" customHeight="false" outlineLevel="0" collapsed="false">
      <c r="A3" s="2"/>
      <c r="B3" s="2"/>
      <c r="C3" s="2"/>
      <c r="D3" s="3" t="n">
        <v>46144</v>
      </c>
      <c r="E3" s="3" t="n">
        <v>46145</v>
      </c>
      <c r="F3" s="4" t="n">
        <v>46146</v>
      </c>
      <c r="G3" s="5"/>
      <c r="H3" s="1" t="s">
        <v>2</v>
      </c>
      <c r="I3" s="6" t="n">
        <v>46148</v>
      </c>
      <c r="J3" s="6" t="n">
        <v>46148</v>
      </c>
      <c r="L3" s="6" t="n">
        <v>46149</v>
      </c>
      <c r="M3" s="6" t="n">
        <v>46150</v>
      </c>
      <c r="N3" s="6" t="n">
        <v>46151</v>
      </c>
      <c r="O3" s="6" t="n">
        <v>46152</v>
      </c>
    </row>
    <row r="4" customFormat="false" ht="12.8" hidden="false" customHeight="false" outlineLevel="0" collapsed="false">
      <c r="A4" s="2" t="s">
        <v>3</v>
      </c>
      <c r="B4" s="2" t="n">
        <v>86</v>
      </c>
      <c r="C4" s="7" t="n">
        <v>246</v>
      </c>
      <c r="D4" s="2" t="n">
        <v>246</v>
      </c>
      <c r="E4" s="7" t="n">
        <v>426</v>
      </c>
      <c r="F4" s="5" t="n">
        <v>186</v>
      </c>
      <c r="G4" s="5" t="n">
        <v>187</v>
      </c>
      <c r="H4" s="1" t="n">
        <v>341</v>
      </c>
      <c r="I4" s="1" t="n">
        <v>537</v>
      </c>
      <c r="J4" s="1" t="n">
        <v>537</v>
      </c>
      <c r="K4" s="1" t="n">
        <v>537</v>
      </c>
      <c r="L4" s="1" t="n">
        <v>404</v>
      </c>
      <c r="M4" s="8" t="n">
        <v>372</v>
      </c>
      <c r="N4" s="0" t="n">
        <v>404</v>
      </c>
      <c r="O4" s="0" t="n">
        <v>303</v>
      </c>
    </row>
    <row r="5" customFormat="false" ht="12.8" hidden="false" customHeight="false" outlineLevel="0" collapsed="false">
      <c r="A5" s="1" t="s">
        <v>4</v>
      </c>
      <c r="F5" s="9" t="n">
        <v>0.352083333333333</v>
      </c>
      <c r="G5" s="9" t="n">
        <v>0.75</v>
      </c>
      <c r="H5" s="10" t="n">
        <v>0.229166666666667</v>
      </c>
      <c r="I5" s="10" t="n">
        <v>0.375</v>
      </c>
      <c r="J5" s="10" t="n">
        <v>0.375</v>
      </c>
      <c r="K5" s="10" t="n">
        <v>0.999305555555556</v>
      </c>
      <c r="L5" s="10" t="n">
        <v>0.354166666666667</v>
      </c>
      <c r="M5" s="10" t="n">
        <v>0.333333333333333</v>
      </c>
      <c r="O5" s="11" t="n">
        <v>0.416666666666667</v>
      </c>
    </row>
    <row r="6" customFormat="false" ht="12.8" hidden="false" customHeight="false" outlineLevel="0" collapsed="false">
      <c r="A6" s="12" t="s">
        <v>5</v>
      </c>
      <c r="B6" s="2"/>
      <c r="C6" s="12"/>
      <c r="D6" s="12" t="s">
        <v>6</v>
      </c>
      <c r="E6" s="12" t="n">
        <v>19</v>
      </c>
      <c r="F6" s="13" t="s">
        <v>7</v>
      </c>
      <c r="G6" s="5" t="n">
        <v>25</v>
      </c>
      <c r="H6" s="1" t="n">
        <v>25</v>
      </c>
      <c r="I6" s="1" t="n">
        <v>25</v>
      </c>
      <c r="J6" s="1" t="s">
        <v>8</v>
      </c>
      <c r="M6" s="1" t="n">
        <v>23</v>
      </c>
    </row>
    <row r="7" customFormat="false" ht="12.8" hidden="false" customHeight="false" outlineLevel="0" collapsed="false">
      <c r="A7" s="12" t="s">
        <v>9</v>
      </c>
      <c r="B7" s="2"/>
      <c r="C7" s="12"/>
      <c r="D7" s="14" t="n">
        <v>0.882638888888889</v>
      </c>
      <c r="E7" s="12" t="n">
        <v>6</v>
      </c>
      <c r="F7" s="5" t="n">
        <v>5</v>
      </c>
      <c r="G7" s="5"/>
    </row>
    <row r="8" customFormat="false" ht="12.8" hidden="false" customHeight="false" outlineLevel="0" collapsed="false">
      <c r="A8" s="2" t="s">
        <v>10</v>
      </c>
      <c r="B8" s="2"/>
      <c r="C8" s="2" t="n">
        <v>1865</v>
      </c>
      <c r="D8" s="2" t="n">
        <v>1971</v>
      </c>
      <c r="E8" s="2" t="n">
        <v>1971</v>
      </c>
      <c r="F8" s="5" t="n">
        <v>1980</v>
      </c>
      <c r="G8" s="15" t="n">
        <v>2020</v>
      </c>
      <c r="H8" s="1" t="n">
        <v>2041</v>
      </c>
      <c r="I8" s="1" t="n">
        <v>2041</v>
      </c>
      <c r="J8" s="1" t="n">
        <v>2041</v>
      </c>
      <c r="K8" s="1" t="n">
        <v>2056</v>
      </c>
      <c r="L8" s="1" t="n">
        <v>2074</v>
      </c>
      <c r="M8" s="1" t="n">
        <v>2074</v>
      </c>
      <c r="O8" s="0" t="n">
        <v>2068</v>
      </c>
    </row>
    <row r="9" customFormat="false" ht="12.8" hidden="false" customHeight="false" outlineLevel="0" collapsed="false">
      <c r="A9" s="2" t="s">
        <v>11</v>
      </c>
      <c r="B9" s="2"/>
      <c r="C9" s="2"/>
      <c r="D9" s="2"/>
      <c r="E9" s="2" t="n">
        <v>371</v>
      </c>
      <c r="F9" s="5" t="n">
        <v>59</v>
      </c>
      <c r="G9" s="5" t="n">
        <v>359</v>
      </c>
      <c r="H9" s="1" t="n">
        <v>354</v>
      </c>
      <c r="I9" s="1" t="n">
        <v>354</v>
      </c>
      <c r="J9" s="1" t="n">
        <v>354</v>
      </c>
      <c r="K9" s="1" t="n">
        <v>315</v>
      </c>
      <c r="O9" s="0" t="n">
        <v>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W60"/>
  <sheetViews>
    <sheetView showFormulas="false" showGridLines="true" showRowColHeaders="true" showZeros="false" rightToLeft="false" tabSelected="false" showOutlineSymbols="true" defaultGridColor="true" view="normal" topLeftCell="A1" colorId="64" zoomScale="110" zoomScaleNormal="110" zoomScalePageLayoutView="100" workbookViewId="0">
      <selection pane="topLeft" activeCell="C56" activeCellId="0" sqref="C5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7" min="7" style="1" width="11.53"/>
    <col collapsed="false" customWidth="true" hidden="false" outlineLevel="0" max="15" min="12" style="1" width="14.6"/>
  </cols>
  <sheetData>
    <row r="6" customFormat="false" ht="12.8" hidden="false" customHeight="false" outlineLevel="0" collapsed="false">
      <c r="B6" s="16" t="n">
        <v>0.25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  <c r="O6" s="1" t="s">
        <v>12</v>
      </c>
      <c r="R6" s="1" t="s">
        <v>12</v>
      </c>
      <c r="S6" s="1" t="s">
        <v>12</v>
      </c>
      <c r="T6" s="1" t="s">
        <v>12</v>
      </c>
      <c r="U6" s="1" t="s">
        <v>12</v>
      </c>
      <c r="V6" s="1" t="s">
        <v>12</v>
      </c>
      <c r="W6" s="1" t="s">
        <v>12</v>
      </c>
    </row>
    <row r="7" customFormat="false" ht="12.8" hidden="false" customHeight="false" outlineLevel="0" collapsed="false">
      <c r="J7" s="1" t="n">
        <v>2</v>
      </c>
      <c r="K7" s="1" t="n">
        <v>3</v>
      </c>
      <c r="L7" s="1" t="n">
        <v>3.5</v>
      </c>
      <c r="M7" s="1" t="n">
        <v>3.7</v>
      </c>
      <c r="N7" s="1" t="n">
        <v>4</v>
      </c>
      <c r="O7" s="1" t="n">
        <v>4.5</v>
      </c>
      <c r="R7" s="1" t="n">
        <v>2</v>
      </c>
      <c r="S7" s="1" t="n">
        <v>3</v>
      </c>
      <c r="T7" s="1" t="n">
        <v>3.5</v>
      </c>
      <c r="U7" s="1" t="n">
        <v>3.7</v>
      </c>
      <c r="V7" s="1" t="n">
        <v>4</v>
      </c>
      <c r="W7" s="1" t="n">
        <v>4.5</v>
      </c>
    </row>
    <row r="8" customFormat="false" ht="12.8" hidden="false" customHeight="false" outlineLevel="0" collapsed="false">
      <c r="C8" s="17" t="n">
        <v>12</v>
      </c>
      <c r="D8" s="18" t="n">
        <f aca="false">C8-(C8*0.18)</f>
        <v>9.84</v>
      </c>
      <c r="E8" s="19" t="n">
        <f aca="false">C8/1.18</f>
        <v>10.1694915254237</v>
      </c>
      <c r="F8" s="20" t="n">
        <f aca="false">D8/1.18</f>
        <v>8.33898305084746</v>
      </c>
      <c r="G8" s="21"/>
      <c r="I8" s="22" t="n">
        <v>12</v>
      </c>
      <c r="J8" s="23" t="n">
        <f aca="false">($I8-($I8*0.18))*J$7</f>
        <v>19.68</v>
      </c>
      <c r="K8" s="23" t="n">
        <f aca="false">($I8-($I8*0.18))*K$7</f>
        <v>29.52</v>
      </c>
      <c r="L8" s="23" t="n">
        <f aca="false">($I8-($I8*0.18))*L$7</f>
        <v>34.44</v>
      </c>
      <c r="M8" s="23" t="n">
        <f aca="false">($I8-($I8*0.18))*M$7</f>
        <v>36.408</v>
      </c>
      <c r="N8" s="23" t="n">
        <f aca="false">($I8-($I8*0.18))*N$7</f>
        <v>39.36</v>
      </c>
      <c r="O8" s="23" t="n">
        <f aca="false">($I8-($I8*0.18))*O$7</f>
        <v>44.28</v>
      </c>
      <c r="Q8" s="22" t="n">
        <v>12</v>
      </c>
      <c r="R8" s="23" t="n">
        <f aca="false">$I8*R$7</f>
        <v>24</v>
      </c>
      <c r="S8" s="23" t="n">
        <f aca="false">$I8*S$7</f>
        <v>36</v>
      </c>
      <c r="T8" s="23" t="n">
        <f aca="false">$I8*T$7</f>
        <v>42</v>
      </c>
      <c r="U8" s="23" t="n">
        <f aca="false">$I8*U$7</f>
        <v>44.4</v>
      </c>
      <c r="V8" s="23" t="n">
        <f aca="false">$I8*V$7</f>
        <v>48</v>
      </c>
      <c r="W8" s="23" t="n">
        <f aca="false">$I8*W$7</f>
        <v>54</v>
      </c>
    </row>
    <row r="9" customFormat="false" ht="12.8" hidden="false" customHeight="false" outlineLevel="0" collapsed="false">
      <c r="C9" s="17" t="n">
        <f aca="false">C8+$B$6</f>
        <v>12.25</v>
      </c>
      <c r="D9" s="18" t="n">
        <f aca="false">C9-(C9*0.18)</f>
        <v>10.045</v>
      </c>
      <c r="E9" s="19" t="n">
        <f aca="false">C9/1.18</f>
        <v>10.3813559322034</v>
      </c>
      <c r="F9" s="20" t="n">
        <f aca="false">D9/1.18</f>
        <v>8.51271186440678</v>
      </c>
      <c r="G9" s="21"/>
      <c r="I9" s="22" t="n">
        <v>13</v>
      </c>
      <c r="J9" s="23" t="n">
        <f aca="false">($I9-($I9*0.18))*J$7</f>
        <v>21.32</v>
      </c>
      <c r="K9" s="23" t="n">
        <f aca="false">($I9-($I9*0.18))*K$7</f>
        <v>31.98</v>
      </c>
      <c r="L9" s="23" t="n">
        <f aca="false">($I9-($I9*0.18))*L$7</f>
        <v>37.31</v>
      </c>
      <c r="M9" s="23" t="n">
        <f aca="false">($I9-($I9*0.18))*M$7</f>
        <v>39.442</v>
      </c>
      <c r="N9" s="23" t="n">
        <f aca="false">($I9-($I9*0.18))*N$7</f>
        <v>42.64</v>
      </c>
      <c r="O9" s="23" t="n">
        <f aca="false">($I9-($I9*0.18))*O$7</f>
        <v>47.97</v>
      </c>
      <c r="Q9" s="22" t="n">
        <v>13</v>
      </c>
      <c r="R9" s="23" t="n">
        <f aca="false">$I9*R$7</f>
        <v>26</v>
      </c>
      <c r="S9" s="23" t="n">
        <f aca="false">$I9*S$7</f>
        <v>39</v>
      </c>
      <c r="T9" s="23" t="n">
        <f aca="false">$I9*T$7</f>
        <v>45.5</v>
      </c>
      <c r="U9" s="23" t="n">
        <f aca="false">$I9*U$7</f>
        <v>48.1</v>
      </c>
      <c r="V9" s="23" t="n">
        <f aca="false">$I9*V$7</f>
        <v>52</v>
      </c>
      <c r="W9" s="23" t="n">
        <f aca="false">$I9*W$7</f>
        <v>58.5</v>
      </c>
    </row>
    <row r="10" customFormat="false" ht="12.8" hidden="false" customHeight="false" outlineLevel="0" collapsed="false">
      <c r="C10" s="17" t="n">
        <f aca="false">C9+$B$6</f>
        <v>12.5</v>
      </c>
      <c r="D10" s="18" t="n">
        <f aca="false">C10-(C10*0.18)</f>
        <v>10.25</v>
      </c>
      <c r="E10" s="19" t="n">
        <f aca="false">C10/1.18</f>
        <v>10.5932203389831</v>
      </c>
      <c r="F10" s="20" t="n">
        <f aca="false">D10/1.18</f>
        <v>8.6864406779661</v>
      </c>
      <c r="G10" s="21"/>
      <c r="I10" s="22" t="n">
        <v>14</v>
      </c>
      <c r="J10" s="23" t="n">
        <f aca="false">($I10-($I10*0.18))*J$7</f>
        <v>22.96</v>
      </c>
      <c r="K10" s="23" t="n">
        <f aca="false">($I10-($I10*0.18))*K$7</f>
        <v>34.44</v>
      </c>
      <c r="L10" s="23" t="n">
        <f aca="false">($I10-($I10*0.18))*L$7</f>
        <v>40.18</v>
      </c>
      <c r="M10" s="23" t="n">
        <f aca="false">($I10-($I10*0.18))*M$7</f>
        <v>42.476</v>
      </c>
      <c r="N10" s="23" t="n">
        <f aca="false">($I10-($I10*0.18))*N$7</f>
        <v>45.92</v>
      </c>
      <c r="O10" s="23" t="n">
        <f aca="false">($I10-($I10*0.18))*O$7</f>
        <v>51.66</v>
      </c>
      <c r="Q10" s="22" t="n">
        <v>14</v>
      </c>
      <c r="R10" s="23" t="n">
        <f aca="false">$I10*R$7</f>
        <v>28</v>
      </c>
      <c r="S10" s="23" t="n">
        <f aca="false">$I10*S$7</f>
        <v>42</v>
      </c>
      <c r="T10" s="23" t="n">
        <f aca="false">$I10*T$7</f>
        <v>49</v>
      </c>
      <c r="U10" s="23" t="n">
        <f aca="false">$I10*U$7</f>
        <v>51.8</v>
      </c>
      <c r="V10" s="23" t="n">
        <f aca="false">$I10*V$7</f>
        <v>56</v>
      </c>
      <c r="W10" s="23" t="n">
        <f aca="false">$I10*W$7</f>
        <v>63</v>
      </c>
    </row>
    <row r="11" customFormat="false" ht="12.8" hidden="false" customHeight="false" outlineLevel="0" collapsed="false">
      <c r="C11" s="17" t="n">
        <f aca="false">C10+$B$6</f>
        <v>12.75</v>
      </c>
      <c r="D11" s="18" t="n">
        <f aca="false">C11-(C11*0.18)</f>
        <v>10.455</v>
      </c>
      <c r="E11" s="19" t="n">
        <f aca="false">C11/1.18</f>
        <v>10.8050847457627</v>
      </c>
      <c r="F11" s="20" t="n">
        <f aca="false">D11/1.18</f>
        <v>8.86016949152542</v>
      </c>
      <c r="G11" s="21"/>
      <c r="I11" s="24" t="n">
        <v>15</v>
      </c>
      <c r="J11" s="16" t="n">
        <f aca="false">($I11-($I11*0.18))*J$7</f>
        <v>24.6</v>
      </c>
      <c r="K11" s="16" t="n">
        <f aca="false">($I11-($I11*0.18))*K$7</f>
        <v>36.9</v>
      </c>
      <c r="L11" s="16" t="n">
        <f aca="false">($I11-($I11*0.18))*L$7</f>
        <v>43.05</v>
      </c>
      <c r="M11" s="16" t="n">
        <f aca="false">($I11-($I11*0.18))*M$7</f>
        <v>45.51</v>
      </c>
      <c r="N11" s="16" t="n">
        <f aca="false">($I11-($I11*0.18))*N$7</f>
        <v>49.2</v>
      </c>
      <c r="O11" s="16" t="n">
        <f aca="false">($I11-($I11*0.18))*O$7</f>
        <v>55.35</v>
      </c>
      <c r="Q11" s="24" t="n">
        <v>15</v>
      </c>
      <c r="R11" s="23" t="n">
        <f aca="false">$I11*R$7</f>
        <v>30</v>
      </c>
      <c r="S11" s="23" t="n">
        <f aca="false">$I11*S$7</f>
        <v>45</v>
      </c>
      <c r="T11" s="25" t="n">
        <f aca="false">$I11*T$7</f>
        <v>52.5</v>
      </c>
      <c r="U11" s="23" t="n">
        <f aca="false">$I11*U$7</f>
        <v>55.5</v>
      </c>
      <c r="V11" s="23" t="n">
        <f aca="false">$I11*V$7</f>
        <v>60</v>
      </c>
      <c r="W11" s="23" t="n">
        <f aca="false">$I11*W$7</f>
        <v>67.5</v>
      </c>
    </row>
    <row r="12" customFormat="false" ht="12.8" hidden="false" customHeight="false" outlineLevel="0" collapsed="false">
      <c r="C12" s="17" t="n">
        <f aca="false">C11+$B$6</f>
        <v>13</v>
      </c>
      <c r="D12" s="18" t="n">
        <f aca="false">C12-(C12*0.18)</f>
        <v>10.66</v>
      </c>
      <c r="E12" s="19" t="n">
        <f aca="false">C12/1.18</f>
        <v>11.0169491525424</v>
      </c>
      <c r="F12" s="20" t="n">
        <f aca="false">D12/1.18</f>
        <v>9.03389830508475</v>
      </c>
      <c r="G12" s="21"/>
      <c r="I12" s="24" t="n">
        <v>16</v>
      </c>
      <c r="J12" s="16" t="n">
        <f aca="false">($I12-($I12*0.18))*J$7</f>
        <v>26.24</v>
      </c>
      <c r="K12" s="16" t="n">
        <f aca="false">($I12-($I12*0.18))*K$7</f>
        <v>39.36</v>
      </c>
      <c r="L12" s="16" t="n">
        <f aca="false">($I12-($I12*0.18))*L$7</f>
        <v>45.92</v>
      </c>
      <c r="M12" s="16" t="n">
        <f aca="false">($I12-($I12*0.18))*M$7</f>
        <v>48.544</v>
      </c>
      <c r="N12" s="16" t="n">
        <f aca="false">($I12-($I12*0.18))*N$7</f>
        <v>52.48</v>
      </c>
      <c r="O12" s="16" t="n">
        <f aca="false">($I12-($I12*0.18))*O$7</f>
        <v>59.04</v>
      </c>
      <c r="Q12" s="24" t="n">
        <v>16</v>
      </c>
      <c r="R12" s="23" t="n">
        <f aca="false">$I12*R$7</f>
        <v>32</v>
      </c>
      <c r="S12" s="23" t="n">
        <f aca="false">$I12*S$7</f>
        <v>48</v>
      </c>
      <c r="T12" s="23" t="n">
        <f aca="false">$I12*T$7</f>
        <v>56</v>
      </c>
      <c r="U12" s="23" t="n">
        <f aca="false">$I12*U$7</f>
        <v>59.2</v>
      </c>
      <c r="V12" s="23" t="n">
        <f aca="false">$I12*V$7</f>
        <v>64</v>
      </c>
      <c r="W12" s="23" t="n">
        <f aca="false">$I12*W$7</f>
        <v>72</v>
      </c>
    </row>
    <row r="13" customFormat="false" ht="12.8" hidden="false" customHeight="false" outlineLevel="0" collapsed="false">
      <c r="C13" s="17" t="n">
        <f aca="false">C12+$B$6</f>
        <v>13.25</v>
      </c>
      <c r="D13" s="18" t="n">
        <f aca="false">C13-(C13*0.18)</f>
        <v>10.865</v>
      </c>
      <c r="E13" s="19" t="n">
        <f aca="false">C13/1.18</f>
        <v>11.228813559322</v>
      </c>
      <c r="F13" s="20" t="n">
        <f aca="false">D13/1.18</f>
        <v>9.20762711864407</v>
      </c>
      <c r="G13" s="21"/>
      <c r="I13" s="24" t="n">
        <v>17</v>
      </c>
      <c r="J13" s="16" t="n">
        <f aca="false">($I13-($I13*0.18))*J$7</f>
        <v>27.88</v>
      </c>
      <c r="K13" s="16" t="n">
        <f aca="false">($I13-($I13*0.18))*K$7</f>
        <v>41.82</v>
      </c>
      <c r="L13" s="16" t="n">
        <f aca="false">($I13-($I13*0.18))*L$7</f>
        <v>48.79</v>
      </c>
      <c r="M13" s="16" t="n">
        <f aca="false">($I13-($I13*0.18))*M$7</f>
        <v>51.578</v>
      </c>
      <c r="N13" s="16" t="n">
        <f aca="false">($I13-($I13*0.18))*N$7</f>
        <v>55.76</v>
      </c>
      <c r="O13" s="16" t="n">
        <f aca="false">($I13-($I13*0.18))*O$7</f>
        <v>62.73</v>
      </c>
      <c r="Q13" s="24" t="n">
        <v>17</v>
      </c>
      <c r="R13" s="23" t="n">
        <f aca="false">$I13*R$7</f>
        <v>34</v>
      </c>
      <c r="S13" s="23" t="n">
        <f aca="false">$I13*S$7</f>
        <v>51</v>
      </c>
      <c r="T13" s="23" t="n">
        <f aca="false">$I13*T$7</f>
        <v>59.5</v>
      </c>
      <c r="U13" s="23" t="n">
        <f aca="false">$I13*U$7</f>
        <v>62.9</v>
      </c>
      <c r="V13" s="23" t="n">
        <f aca="false">$I13*V$7</f>
        <v>68</v>
      </c>
      <c r="W13" s="23" t="n">
        <f aca="false">$I13*W$7</f>
        <v>76.5</v>
      </c>
    </row>
    <row r="14" customFormat="false" ht="12.8" hidden="false" customHeight="false" outlineLevel="0" collapsed="false">
      <c r="C14" s="17" t="n">
        <f aca="false">C13+$B$6</f>
        <v>13.5</v>
      </c>
      <c r="D14" s="18" t="n">
        <f aca="false">C14-(C14*0.18)</f>
        <v>11.07</v>
      </c>
      <c r="E14" s="19" t="n">
        <f aca="false">C14/1.18</f>
        <v>11.4406779661017</v>
      </c>
      <c r="F14" s="20" t="n">
        <f aca="false">D14/1.18</f>
        <v>9.38135593220339</v>
      </c>
      <c r="G14" s="21"/>
      <c r="I14" s="24" t="n">
        <v>18</v>
      </c>
      <c r="J14" s="16" t="n">
        <f aca="false">($I14-($I14*0.18))*J$7</f>
        <v>29.52</v>
      </c>
      <c r="K14" s="16" t="n">
        <f aca="false">($I14-($I14*0.18))*K$7</f>
        <v>44.28</v>
      </c>
      <c r="L14" s="16" t="n">
        <f aca="false">($I14-($I14*0.18))*L$7</f>
        <v>51.66</v>
      </c>
      <c r="M14" s="16" t="n">
        <f aca="false">($I14-($I14*0.18))*M$7</f>
        <v>54.612</v>
      </c>
      <c r="N14" s="16" t="n">
        <f aca="false">($I14-($I14*0.18))*N$7</f>
        <v>59.04</v>
      </c>
      <c r="O14" s="16" t="n">
        <f aca="false">($I14-($I14*0.18))*O$7</f>
        <v>66.42</v>
      </c>
      <c r="Q14" s="24" t="n">
        <v>18</v>
      </c>
      <c r="R14" s="23" t="n">
        <f aca="false">$I14*R$7</f>
        <v>36</v>
      </c>
      <c r="S14" s="23" t="n">
        <f aca="false">$I14*S$7</f>
        <v>54</v>
      </c>
      <c r="T14" s="23" t="n">
        <f aca="false">$I14*T$7</f>
        <v>63</v>
      </c>
      <c r="U14" s="23" t="n">
        <f aca="false">$I14*U$7</f>
        <v>66.6</v>
      </c>
      <c r="V14" s="23" t="n">
        <f aca="false">$I14*V$7</f>
        <v>72</v>
      </c>
      <c r="W14" s="23" t="n">
        <f aca="false">$I14*W$7</f>
        <v>81</v>
      </c>
    </row>
    <row r="15" customFormat="false" ht="12.8" hidden="false" customHeight="false" outlineLevel="0" collapsed="false">
      <c r="C15" s="17" t="n">
        <f aca="false">C14+$B$6</f>
        <v>13.75</v>
      </c>
      <c r="D15" s="18" t="n">
        <f aca="false">C15-(C15*0.18)</f>
        <v>11.275</v>
      </c>
      <c r="E15" s="19" t="n">
        <f aca="false">C15/1.18</f>
        <v>11.6525423728814</v>
      </c>
      <c r="F15" s="20" t="n">
        <f aca="false">D15/1.18</f>
        <v>9.55508474576271</v>
      </c>
      <c r="G15" s="21"/>
      <c r="I15" s="24" t="n">
        <v>19</v>
      </c>
      <c r="J15" s="16" t="n">
        <f aca="false">($I15-($I15*0.18))*J$7</f>
        <v>31.16</v>
      </c>
      <c r="K15" s="16" t="n">
        <f aca="false">($I15-($I15*0.18))*K$7</f>
        <v>46.74</v>
      </c>
      <c r="L15" s="16" t="n">
        <f aca="false">($I15-($I15*0.18))*L$7</f>
        <v>54.53</v>
      </c>
      <c r="M15" s="16" t="n">
        <f aca="false">($I15-($I15*0.18))*M$7</f>
        <v>57.646</v>
      </c>
      <c r="N15" s="16" t="n">
        <f aca="false">($I15-($I15*0.18))*N$7</f>
        <v>62.32</v>
      </c>
      <c r="O15" s="16" t="n">
        <f aca="false">($I15-($I15*0.18))*O$7</f>
        <v>70.11</v>
      </c>
      <c r="Q15" s="24" t="n">
        <v>19</v>
      </c>
      <c r="R15" s="23" t="n">
        <f aca="false">$I15*R$7</f>
        <v>38</v>
      </c>
      <c r="S15" s="23" t="n">
        <f aca="false">$I15*S$7</f>
        <v>57</v>
      </c>
      <c r="T15" s="23" t="n">
        <f aca="false">$I15*T$7</f>
        <v>66.5</v>
      </c>
      <c r="U15" s="23" t="n">
        <f aca="false">$I15*U$7</f>
        <v>70.3</v>
      </c>
      <c r="V15" s="23" t="n">
        <f aca="false">$I15*V$7</f>
        <v>76</v>
      </c>
      <c r="W15" s="23" t="n">
        <f aca="false">$I15*W$7</f>
        <v>85.5</v>
      </c>
    </row>
    <row r="16" customFormat="false" ht="12.8" hidden="false" customHeight="false" outlineLevel="0" collapsed="false">
      <c r="C16" s="17" t="n">
        <f aca="false">C15+$B$6</f>
        <v>14</v>
      </c>
      <c r="D16" s="18" t="n">
        <f aca="false">C16-(C16*0.18)</f>
        <v>11.48</v>
      </c>
      <c r="E16" s="19" t="n">
        <f aca="false">C16/1.18</f>
        <v>11.864406779661</v>
      </c>
      <c r="F16" s="20" t="n">
        <f aca="false">D16/1.18</f>
        <v>9.72881355932204</v>
      </c>
      <c r="G16" s="21"/>
      <c r="I16" s="24" t="n">
        <v>20</v>
      </c>
      <c r="J16" s="16" t="n">
        <f aca="false">($I16-($I16*0.18))*J$7</f>
        <v>32.8</v>
      </c>
      <c r="K16" s="16" t="n">
        <f aca="false">($I16-($I16*0.18))*K$7</f>
        <v>49.2</v>
      </c>
      <c r="L16" s="16" t="n">
        <f aca="false">($I16-($I16*0.18))*L$7</f>
        <v>57.4</v>
      </c>
      <c r="M16" s="16" t="n">
        <f aca="false">($I16-($I16*0.18))*M$7</f>
        <v>60.68</v>
      </c>
      <c r="N16" s="16" t="n">
        <f aca="false">($I16-($I16*0.18))*N$7</f>
        <v>65.6</v>
      </c>
      <c r="O16" s="16" t="n">
        <f aca="false">($I16-($I16*0.18))*O$7</f>
        <v>73.8</v>
      </c>
      <c r="Q16" s="24" t="n">
        <v>20</v>
      </c>
      <c r="R16" s="23" t="n">
        <f aca="false">$I16*R$7</f>
        <v>40</v>
      </c>
      <c r="S16" s="23" t="n">
        <f aca="false">$I16*S$7</f>
        <v>60</v>
      </c>
      <c r="T16" s="23" t="n">
        <f aca="false">$I16*T$7</f>
        <v>70</v>
      </c>
      <c r="U16" s="23" t="n">
        <f aca="false">$I16*U$7</f>
        <v>74</v>
      </c>
      <c r="V16" s="23" t="n">
        <f aca="false">$I16*V$7</f>
        <v>80</v>
      </c>
      <c r="W16" s="23" t="n">
        <f aca="false">$I16*W$7</f>
        <v>90</v>
      </c>
    </row>
    <row r="17" customFormat="false" ht="12.8" hidden="false" customHeight="false" outlineLevel="0" collapsed="false">
      <c r="C17" s="17" t="n">
        <f aca="false">C16+$B$6</f>
        <v>14.25</v>
      </c>
      <c r="D17" s="18" t="n">
        <f aca="false">C17-(C17*0.18)</f>
        <v>11.685</v>
      </c>
      <c r="E17" s="19" t="n">
        <f aca="false">C17/1.18</f>
        <v>12.0762711864407</v>
      </c>
      <c r="F17" s="20" t="n">
        <f aca="false">D17/1.18</f>
        <v>9.90254237288136</v>
      </c>
      <c r="G17" s="21"/>
    </row>
    <row r="18" customFormat="false" ht="12.8" hidden="false" customHeight="false" outlineLevel="0" collapsed="false">
      <c r="C18" s="17" t="n">
        <f aca="false">C17+$B$6</f>
        <v>14.5</v>
      </c>
      <c r="D18" s="18" t="n">
        <f aca="false">C18-(C18*0.18)</f>
        <v>11.89</v>
      </c>
      <c r="E18" s="19" t="n">
        <f aca="false">C18/1.18</f>
        <v>12.2881355932203</v>
      </c>
      <c r="F18" s="20" t="n">
        <f aca="false">D18/1.18</f>
        <v>10.0762711864407</v>
      </c>
      <c r="G18" s="21"/>
    </row>
    <row r="19" customFormat="false" ht="12.8" hidden="false" customHeight="false" outlineLevel="0" collapsed="false">
      <c r="C19" s="17" t="n">
        <f aca="false">C18+$B$6</f>
        <v>14.75</v>
      </c>
      <c r="D19" s="18" t="n">
        <f aca="false">C19-(C19*0.18)</f>
        <v>12.095</v>
      </c>
      <c r="E19" s="19" t="n">
        <f aca="false">C19/1.18</f>
        <v>12.5</v>
      </c>
      <c r="F19" s="20" t="n">
        <f aca="false">D19/1.18</f>
        <v>10.25</v>
      </c>
      <c r="G19" s="21"/>
      <c r="I19" s="26" t="n">
        <v>13</v>
      </c>
      <c r="J19" s="1" t="n">
        <f aca="false">J9*20</f>
        <v>426.4</v>
      </c>
      <c r="K19" s="1" t="n">
        <f aca="false">K9*20</f>
        <v>639.6</v>
      </c>
      <c r="L19" s="1" t="n">
        <f aca="false">L9*20</f>
        <v>746.2</v>
      </c>
      <c r="M19" s="1" t="n">
        <f aca="false">M9*20</f>
        <v>788.84</v>
      </c>
      <c r="N19" s="16" t="n">
        <f aca="false">N9*20</f>
        <v>852.8</v>
      </c>
      <c r="O19" s="16" t="n">
        <f aca="false">O9*20</f>
        <v>959.4</v>
      </c>
      <c r="Q19" s="26" t="n">
        <v>13</v>
      </c>
      <c r="R19" s="16" t="n">
        <f aca="false">R9*20</f>
        <v>520</v>
      </c>
      <c r="S19" s="16" t="n">
        <f aca="false">S9*20</f>
        <v>780</v>
      </c>
      <c r="T19" s="16" t="n">
        <f aca="false">T9*20</f>
        <v>910</v>
      </c>
      <c r="U19" s="16" t="n">
        <f aca="false">U9*20</f>
        <v>962</v>
      </c>
      <c r="V19" s="16" t="n">
        <f aca="false">V9*20</f>
        <v>1040</v>
      </c>
      <c r="W19" s="16" t="n">
        <f aca="false">W9*20</f>
        <v>1170</v>
      </c>
    </row>
    <row r="20" customFormat="false" ht="12.8" hidden="false" customHeight="false" outlineLevel="0" collapsed="false">
      <c r="C20" s="17" t="n">
        <f aca="false">C19+$B$6</f>
        <v>15</v>
      </c>
      <c r="D20" s="18" t="n">
        <f aca="false">C20-(C20*0.18)</f>
        <v>12.3</v>
      </c>
      <c r="E20" s="19" t="n">
        <f aca="false">C20/1.18</f>
        <v>12.7118644067797</v>
      </c>
      <c r="F20" s="20" t="n">
        <f aca="false">D20/1.18</f>
        <v>10.4237288135593</v>
      </c>
      <c r="G20" s="21"/>
      <c r="I20" s="26" t="n">
        <v>14</v>
      </c>
      <c r="J20" s="1" t="n">
        <f aca="false">J10*20</f>
        <v>459.2</v>
      </c>
      <c r="K20" s="1" t="n">
        <f aca="false">K10*20</f>
        <v>688.8</v>
      </c>
      <c r="L20" s="1" t="n">
        <f aca="false">L10*20</f>
        <v>803.6</v>
      </c>
      <c r="M20" s="1" t="n">
        <f aca="false">M10*20</f>
        <v>849.52</v>
      </c>
      <c r="N20" s="16" t="n">
        <f aca="false">N10*20</f>
        <v>918.4</v>
      </c>
      <c r="O20" s="16" t="n">
        <f aca="false">O10*20</f>
        <v>1033.2</v>
      </c>
      <c r="Q20" s="26" t="n">
        <v>14</v>
      </c>
      <c r="R20" s="16" t="n">
        <f aca="false">R10*20</f>
        <v>560</v>
      </c>
      <c r="S20" s="16" t="n">
        <f aca="false">S10*20</f>
        <v>840</v>
      </c>
      <c r="T20" s="16" t="n">
        <f aca="false">T10*20</f>
        <v>980</v>
      </c>
      <c r="U20" s="16" t="n">
        <f aca="false">U10*20</f>
        <v>1036</v>
      </c>
      <c r="V20" s="16" t="n">
        <f aca="false">V10*20</f>
        <v>1120</v>
      </c>
      <c r="W20" s="16" t="n">
        <f aca="false">W10*20</f>
        <v>1260</v>
      </c>
    </row>
    <row r="21" customFormat="false" ht="12.8" hidden="false" customHeight="false" outlineLevel="0" collapsed="false">
      <c r="C21" s="17" t="n">
        <f aca="false">C20+$B$6</f>
        <v>15.25</v>
      </c>
      <c r="D21" s="18" t="n">
        <f aca="false">C21-(C21*0.18)</f>
        <v>12.505</v>
      </c>
      <c r="E21" s="19" t="n">
        <f aca="false">C21/1.18</f>
        <v>12.9237288135593</v>
      </c>
      <c r="F21" s="20" t="n">
        <f aca="false">D21/1.18</f>
        <v>10.5974576271186</v>
      </c>
      <c r="G21" s="21"/>
      <c r="H21" s="27" t="n">
        <v>5</v>
      </c>
      <c r="I21" s="26" t="n">
        <v>15</v>
      </c>
      <c r="J21" s="1" t="n">
        <f aca="false">J11*20</f>
        <v>492</v>
      </c>
      <c r="K21" s="1" t="n">
        <f aca="false">K11*20</f>
        <v>738</v>
      </c>
      <c r="L21" s="1" t="n">
        <f aca="false">L11*20</f>
        <v>861</v>
      </c>
      <c r="M21" s="1" t="n">
        <f aca="false">M11*20</f>
        <v>910.2</v>
      </c>
      <c r="N21" s="16" t="n">
        <f aca="false">N11*20</f>
        <v>984</v>
      </c>
      <c r="O21" s="16" t="n">
        <f aca="false">O11*20</f>
        <v>1107</v>
      </c>
      <c r="Q21" s="26" t="n">
        <v>15</v>
      </c>
      <c r="R21" s="16" t="n">
        <f aca="false">R11*20</f>
        <v>600</v>
      </c>
      <c r="S21" s="16" t="n">
        <f aca="false">S11*20</f>
        <v>900</v>
      </c>
      <c r="T21" s="16" t="n">
        <f aca="false">T11*20</f>
        <v>1050</v>
      </c>
      <c r="U21" s="16" t="n">
        <f aca="false">U11*20</f>
        <v>1110</v>
      </c>
      <c r="V21" s="16" t="n">
        <f aca="false">V11*20</f>
        <v>1200</v>
      </c>
      <c r="W21" s="16" t="n">
        <f aca="false">W11*20</f>
        <v>1350</v>
      </c>
    </row>
    <row r="22" customFormat="false" ht="12.8" hidden="false" customHeight="false" outlineLevel="0" collapsed="false">
      <c r="C22" s="17" t="n">
        <f aca="false">C21+$B$6</f>
        <v>15.5</v>
      </c>
      <c r="D22" s="18" t="n">
        <f aca="false">C22-(C22*0.18)</f>
        <v>12.71</v>
      </c>
      <c r="E22" s="19" t="n">
        <f aca="false">C22/1.18</f>
        <v>13.135593220339</v>
      </c>
      <c r="F22" s="20" t="n">
        <f aca="false">D22/1.18</f>
        <v>10.771186440678</v>
      </c>
      <c r="G22" s="21"/>
      <c r="I22" s="26" t="n">
        <v>16</v>
      </c>
      <c r="J22" s="1" t="n">
        <f aca="false">$J12*20</f>
        <v>524.8</v>
      </c>
      <c r="K22" s="1" t="n">
        <f aca="false">$K$12*20</f>
        <v>787.2</v>
      </c>
      <c r="L22" s="1" t="n">
        <f aca="false">$L$12*20</f>
        <v>918.4</v>
      </c>
      <c r="M22" s="1" t="n">
        <f aca="false">$M$12*20</f>
        <v>970.88</v>
      </c>
      <c r="N22" s="16" t="n">
        <f aca="false">$N$12*20</f>
        <v>1049.6</v>
      </c>
      <c r="O22" s="16" t="n">
        <f aca="false">$O$12*20</f>
        <v>1180.8</v>
      </c>
      <c r="Q22" s="26" t="n">
        <v>16</v>
      </c>
      <c r="R22" s="16" t="n">
        <f aca="false">$J12*20</f>
        <v>524.8</v>
      </c>
      <c r="S22" s="16" t="n">
        <f aca="false">$K$12*20</f>
        <v>787.2</v>
      </c>
      <c r="T22" s="16" t="n">
        <f aca="false">$L$12*20</f>
        <v>918.4</v>
      </c>
      <c r="U22" s="16" t="n">
        <f aca="false">$M$12*20</f>
        <v>970.88</v>
      </c>
      <c r="V22" s="16" t="n">
        <f aca="false">$N$12*20</f>
        <v>1049.6</v>
      </c>
      <c r="W22" s="16" t="n">
        <f aca="false">$O$12*20</f>
        <v>1180.8</v>
      </c>
    </row>
    <row r="23" customFormat="false" ht="12.8" hidden="false" customHeight="false" outlineLevel="0" collapsed="false">
      <c r="C23" s="17" t="n">
        <f aca="false">C22+$B$6</f>
        <v>15.75</v>
      </c>
      <c r="D23" s="18" t="n">
        <f aca="false">C23-(C23*0.18)</f>
        <v>12.915</v>
      </c>
      <c r="E23" s="19" t="n">
        <f aca="false">C23/1.18</f>
        <v>13.3474576271186</v>
      </c>
      <c r="F23" s="20" t="n">
        <f aca="false">D23/1.18</f>
        <v>10.9449152542373</v>
      </c>
      <c r="G23" s="21"/>
      <c r="I23" s="26" t="n">
        <v>17</v>
      </c>
      <c r="J23" s="1" t="n">
        <f aca="false">$J13*20</f>
        <v>557.6</v>
      </c>
      <c r="K23" s="1" t="n">
        <f aca="false">$K$13*20</f>
        <v>836.4</v>
      </c>
      <c r="L23" s="1" t="n">
        <f aca="false">$L$13*20</f>
        <v>975.8</v>
      </c>
      <c r="M23" s="1" t="n">
        <f aca="false">$M$13*20</f>
        <v>1031.56</v>
      </c>
      <c r="N23" s="16" t="n">
        <f aca="false">$N$13*20</f>
        <v>1115.2</v>
      </c>
      <c r="O23" s="16" t="n">
        <f aca="false">$O$13*20</f>
        <v>1254.6</v>
      </c>
      <c r="Q23" s="26" t="n">
        <v>17</v>
      </c>
      <c r="R23" s="16" t="n">
        <f aca="false">$J13*20</f>
        <v>557.6</v>
      </c>
      <c r="S23" s="16" t="n">
        <f aca="false">$K$13*20</f>
        <v>836.4</v>
      </c>
      <c r="T23" s="16" t="n">
        <f aca="false">$L$13*20</f>
        <v>975.8</v>
      </c>
      <c r="U23" s="16" t="n">
        <f aca="false">$M$13*20</f>
        <v>1031.56</v>
      </c>
      <c r="V23" s="16" t="n">
        <f aca="false">$N$13*20</f>
        <v>1115.2</v>
      </c>
      <c r="W23" s="16" t="n">
        <f aca="false">$O$13*20</f>
        <v>1254.6</v>
      </c>
    </row>
    <row r="24" customFormat="false" ht="12.8" hidden="false" customHeight="false" outlineLevel="0" collapsed="false">
      <c r="C24" s="17" t="n">
        <f aca="false">C23+$B$6</f>
        <v>16</v>
      </c>
      <c r="D24" s="18" t="n">
        <f aca="false">C24-(C24*0.18)</f>
        <v>13.12</v>
      </c>
      <c r="E24" s="19" t="n">
        <f aca="false">C24/1.18</f>
        <v>13.5593220338983</v>
      </c>
      <c r="F24" s="20" t="n">
        <f aca="false">D24/1.18</f>
        <v>11.1186440677966</v>
      </c>
      <c r="G24" s="21"/>
      <c r="I24" s="26" t="n">
        <v>18</v>
      </c>
      <c r="J24" s="1" t="n">
        <f aca="false">$J14*20</f>
        <v>590.4</v>
      </c>
      <c r="K24" s="1" t="n">
        <f aca="false">$K$14*20</f>
        <v>885.6</v>
      </c>
      <c r="L24" s="1" t="n">
        <f aca="false">$L$14*20</f>
        <v>1033.2</v>
      </c>
      <c r="M24" s="1" t="n">
        <f aca="false">$M$14*20</f>
        <v>1092.24</v>
      </c>
      <c r="N24" s="16" t="n">
        <f aca="false">$N$14*20</f>
        <v>1180.8</v>
      </c>
      <c r="O24" s="16" t="n">
        <f aca="false">$O$14*20</f>
        <v>1328.4</v>
      </c>
      <c r="Q24" s="26" t="n">
        <v>18</v>
      </c>
      <c r="R24" s="16" t="n">
        <f aca="false">$J14*20</f>
        <v>590.4</v>
      </c>
      <c r="S24" s="16" t="n">
        <f aca="false">$K$14*20</f>
        <v>885.6</v>
      </c>
      <c r="T24" s="16" t="n">
        <f aca="false">$L$14*20</f>
        <v>1033.2</v>
      </c>
      <c r="U24" s="16" t="n">
        <f aca="false">$M$14*20</f>
        <v>1092.24</v>
      </c>
      <c r="V24" s="16" t="n">
        <f aca="false">$N$14*20</f>
        <v>1180.8</v>
      </c>
      <c r="W24" s="16" t="n">
        <f aca="false">$O$14*20</f>
        <v>1328.4</v>
      </c>
    </row>
    <row r="25" customFormat="false" ht="12.8" hidden="false" customHeight="false" outlineLevel="0" collapsed="false">
      <c r="C25" s="17" t="n">
        <f aca="false">C24+$B$6</f>
        <v>16.25</v>
      </c>
      <c r="D25" s="18" t="n">
        <f aca="false">C25-(C25*0.18)</f>
        <v>13.325</v>
      </c>
      <c r="E25" s="19" t="n">
        <f aca="false">C25/1.18</f>
        <v>13.771186440678</v>
      </c>
      <c r="F25" s="20" t="n">
        <f aca="false">D25/1.18</f>
        <v>11.2923728813559</v>
      </c>
      <c r="G25" s="21"/>
      <c r="I25" s="26" t="n">
        <v>19</v>
      </c>
      <c r="J25" s="1" t="n">
        <f aca="false">$J15*20</f>
        <v>623.2</v>
      </c>
      <c r="K25" s="1" t="n">
        <f aca="false">$K$14*20</f>
        <v>885.6</v>
      </c>
      <c r="L25" s="1" t="n">
        <f aca="false">$L$14*20</f>
        <v>1033.2</v>
      </c>
      <c r="M25" s="1" t="n">
        <f aca="false">$M$14*20</f>
        <v>1092.24</v>
      </c>
      <c r="N25" s="16" t="n">
        <f aca="false">$N$14*20</f>
        <v>1180.8</v>
      </c>
      <c r="O25" s="16" t="n">
        <f aca="false">$O$14*20</f>
        <v>1328.4</v>
      </c>
      <c r="Q25" s="26" t="n">
        <v>19</v>
      </c>
      <c r="R25" s="16" t="n">
        <f aca="false">$J15*20</f>
        <v>623.2</v>
      </c>
      <c r="S25" s="16" t="n">
        <f aca="false">$K$14*20</f>
        <v>885.6</v>
      </c>
      <c r="T25" s="16" t="n">
        <f aca="false">$L$14*20</f>
        <v>1033.2</v>
      </c>
      <c r="U25" s="16" t="n">
        <f aca="false">$M$14*20</f>
        <v>1092.24</v>
      </c>
      <c r="V25" s="16" t="n">
        <f aca="false">$N$14*20</f>
        <v>1180.8</v>
      </c>
      <c r="W25" s="16" t="n">
        <f aca="false">$O$14*20</f>
        <v>1328.4</v>
      </c>
    </row>
    <row r="26" customFormat="false" ht="12.8" hidden="false" customHeight="false" outlineLevel="0" collapsed="false">
      <c r="C26" s="17" t="n">
        <f aca="false">C25+$B$6</f>
        <v>16.5</v>
      </c>
      <c r="D26" s="18" t="n">
        <f aca="false">C26-(C26*0.18)</f>
        <v>13.53</v>
      </c>
      <c r="E26" s="19" t="n">
        <f aca="false">C26/1.18</f>
        <v>13.9830508474576</v>
      </c>
      <c r="F26" s="20" t="n">
        <f aca="false">D26/1.18</f>
        <v>11.4661016949153</v>
      </c>
      <c r="G26" s="21"/>
      <c r="I26" s="26" t="n">
        <v>20</v>
      </c>
      <c r="J26" s="1" t="n">
        <f aca="false">$J16*20</f>
        <v>656</v>
      </c>
      <c r="K26" s="1" t="n">
        <f aca="false">$K$14*20</f>
        <v>885.6</v>
      </c>
      <c r="L26" s="1" t="n">
        <f aca="false">$L$14*20</f>
        <v>1033.2</v>
      </c>
      <c r="M26" s="1" t="n">
        <f aca="false">$M$14*20</f>
        <v>1092.24</v>
      </c>
      <c r="N26" s="16" t="n">
        <f aca="false">$N$14*20</f>
        <v>1180.8</v>
      </c>
      <c r="O26" s="16" t="n">
        <f aca="false">$O$14*20</f>
        <v>1328.4</v>
      </c>
      <c r="Q26" s="26" t="n">
        <v>20</v>
      </c>
      <c r="R26" s="16" t="n">
        <f aca="false">$J16*20</f>
        <v>656</v>
      </c>
      <c r="S26" s="16" t="n">
        <f aca="false">$K$14*20</f>
        <v>885.6</v>
      </c>
      <c r="T26" s="16" t="n">
        <f aca="false">$L$14*20</f>
        <v>1033.2</v>
      </c>
      <c r="U26" s="16" t="n">
        <f aca="false">$M$14*20</f>
        <v>1092.24</v>
      </c>
      <c r="V26" s="16" t="n">
        <f aca="false">$N$14*20</f>
        <v>1180.8</v>
      </c>
      <c r="W26" s="16" t="n">
        <f aca="false">$O$14*20</f>
        <v>1328.4</v>
      </c>
    </row>
    <row r="27" customFormat="false" ht="12.8" hidden="false" customHeight="true" outlineLevel="0" collapsed="false">
      <c r="C27" s="17" t="n">
        <f aca="false">C26+$B$6</f>
        <v>16.75</v>
      </c>
      <c r="D27" s="18" t="n">
        <f aca="false">C27-(C27*0.18)</f>
        <v>13.735</v>
      </c>
      <c r="E27" s="19" t="n">
        <f aca="false">C27/1.18</f>
        <v>14.1949152542373</v>
      </c>
      <c r="F27" s="20" t="n">
        <f aca="false">D27/1.18</f>
        <v>11.6398305084746</v>
      </c>
    </row>
    <row r="28" customFormat="false" ht="12.8" hidden="false" customHeight="false" outlineLevel="0" collapsed="false">
      <c r="C28" s="17" t="n">
        <f aca="false">C27+$B$6</f>
        <v>17</v>
      </c>
      <c r="D28" s="18" t="n">
        <f aca="false">C28-(C28*0.18)</f>
        <v>13.94</v>
      </c>
      <c r="E28" s="19" t="n">
        <f aca="false">C28/1.18</f>
        <v>14.406779661017</v>
      </c>
      <c r="F28" s="20" t="n">
        <f aca="false">D28/1.18</f>
        <v>11.8135593220339</v>
      </c>
      <c r="H28" s="27" t="n">
        <v>6</v>
      </c>
      <c r="I28" s="26" t="n">
        <v>15</v>
      </c>
      <c r="J28" s="1" t="n">
        <f aca="false">J11*21</f>
        <v>516.6</v>
      </c>
      <c r="K28" s="1" t="n">
        <f aca="false">K11*21</f>
        <v>774.9</v>
      </c>
      <c r="L28" s="1" t="n">
        <f aca="false">L11*21</f>
        <v>904.05</v>
      </c>
      <c r="M28" s="1" t="n">
        <f aca="false">M11*21</f>
        <v>955.71</v>
      </c>
      <c r="N28" s="16" t="n">
        <f aca="false">N11*21</f>
        <v>1033.2</v>
      </c>
      <c r="O28" s="16" t="n">
        <f aca="false">O11*21</f>
        <v>1162.35</v>
      </c>
      <c r="Q28" s="26" t="n">
        <v>15</v>
      </c>
      <c r="R28" s="16" t="n">
        <f aca="false">R11*21</f>
        <v>630</v>
      </c>
      <c r="S28" s="16" t="n">
        <f aca="false">S11*21</f>
        <v>945</v>
      </c>
      <c r="T28" s="16" t="n">
        <f aca="false">T11*21</f>
        <v>1102.5</v>
      </c>
      <c r="U28" s="16" t="n">
        <f aca="false">U11*21</f>
        <v>1165.5</v>
      </c>
      <c r="V28" s="16" t="n">
        <f aca="false">V11*21</f>
        <v>1260</v>
      </c>
      <c r="W28" s="16" t="n">
        <f aca="false">W11*21</f>
        <v>1417.5</v>
      </c>
    </row>
    <row r="29" customFormat="false" ht="12.8" hidden="false" customHeight="false" outlineLevel="0" collapsed="false">
      <c r="C29" s="17" t="n">
        <f aca="false">C28+$B$6</f>
        <v>17.25</v>
      </c>
      <c r="D29" s="18" t="n">
        <f aca="false">C29-(C29*0.18)</f>
        <v>14.145</v>
      </c>
      <c r="E29" s="19" t="n">
        <f aca="false">C29/1.18</f>
        <v>14.6186440677966</v>
      </c>
      <c r="F29" s="20" t="n">
        <f aca="false">D29/1.18</f>
        <v>11.9872881355932</v>
      </c>
      <c r="I29" s="26" t="n">
        <v>16</v>
      </c>
      <c r="J29" s="1" t="n">
        <f aca="false">J12*21</f>
        <v>551.04</v>
      </c>
      <c r="K29" s="1" t="n">
        <f aca="false">K12*21</f>
        <v>826.56</v>
      </c>
      <c r="L29" s="1" t="n">
        <f aca="false">L12*21</f>
        <v>964.32</v>
      </c>
      <c r="M29" s="1" t="n">
        <f aca="false">M12*21</f>
        <v>1019.424</v>
      </c>
      <c r="N29" s="16" t="n">
        <f aca="false">N12*21</f>
        <v>1102.08</v>
      </c>
      <c r="O29" s="16" t="n">
        <f aca="false">O12*21</f>
        <v>1239.84</v>
      </c>
      <c r="Q29" s="26" t="n">
        <v>16</v>
      </c>
      <c r="R29" s="16" t="n">
        <f aca="false">R12*21</f>
        <v>672</v>
      </c>
      <c r="S29" s="16" t="n">
        <f aca="false">S12*21</f>
        <v>1008</v>
      </c>
      <c r="T29" s="16" t="n">
        <f aca="false">T12*21</f>
        <v>1176</v>
      </c>
      <c r="U29" s="16" t="n">
        <f aca="false">U12*21</f>
        <v>1243.2</v>
      </c>
      <c r="V29" s="16" t="n">
        <f aca="false">V12*21</f>
        <v>1344</v>
      </c>
      <c r="W29" s="16" t="n">
        <f aca="false">W12*21</f>
        <v>1512</v>
      </c>
    </row>
    <row r="30" customFormat="false" ht="12.8" hidden="false" customHeight="false" outlineLevel="0" collapsed="false">
      <c r="C30" s="17" t="n">
        <f aca="false">C29+$B$6</f>
        <v>17.5</v>
      </c>
      <c r="D30" s="18" t="n">
        <f aca="false">C30-(C30*0.18)</f>
        <v>14.35</v>
      </c>
      <c r="E30" s="19" t="n">
        <f aca="false">C30/1.18</f>
        <v>14.8305084745763</v>
      </c>
      <c r="F30" s="20" t="n">
        <f aca="false">D30/1.18</f>
        <v>12.1610169491525</v>
      </c>
      <c r="I30" s="26" t="n">
        <v>17</v>
      </c>
      <c r="J30" s="1" t="n">
        <f aca="false">J13*21</f>
        <v>585.48</v>
      </c>
      <c r="K30" s="1" t="n">
        <f aca="false">K13*21</f>
        <v>878.22</v>
      </c>
      <c r="L30" s="1" t="n">
        <f aca="false">L13*21</f>
        <v>1024.59</v>
      </c>
      <c r="M30" s="1" t="n">
        <f aca="false">M13*21</f>
        <v>1083.138</v>
      </c>
      <c r="N30" s="16" t="n">
        <f aca="false">N13*21</f>
        <v>1170.96</v>
      </c>
      <c r="O30" s="16" t="n">
        <f aca="false">O13*21</f>
        <v>1317.33</v>
      </c>
      <c r="Q30" s="26" t="n">
        <v>17</v>
      </c>
      <c r="R30" s="16" t="n">
        <f aca="false">R13*21</f>
        <v>714</v>
      </c>
      <c r="S30" s="16" t="n">
        <f aca="false">S13*21</f>
        <v>1071</v>
      </c>
      <c r="T30" s="16" t="n">
        <f aca="false">T13*21</f>
        <v>1249.5</v>
      </c>
      <c r="U30" s="16" t="n">
        <f aca="false">U13*21</f>
        <v>1320.9</v>
      </c>
      <c r="V30" s="16" t="n">
        <f aca="false">V13*21</f>
        <v>1428</v>
      </c>
      <c r="W30" s="16" t="n">
        <f aca="false">W13*21</f>
        <v>1606.5</v>
      </c>
    </row>
    <row r="31" customFormat="false" ht="12.8" hidden="false" customHeight="false" outlineLevel="0" collapsed="false">
      <c r="C31" s="17" t="n">
        <f aca="false">C30+$B$6</f>
        <v>17.75</v>
      </c>
      <c r="D31" s="18" t="n">
        <f aca="false">C31-(C31*0.18)</f>
        <v>14.555</v>
      </c>
      <c r="E31" s="19" t="n">
        <f aca="false">C31/1.18</f>
        <v>15.0423728813559</v>
      </c>
      <c r="F31" s="20" t="n">
        <f aca="false">D31/1.18</f>
        <v>12.3347457627119</v>
      </c>
      <c r="I31" s="26" t="n">
        <v>18</v>
      </c>
      <c r="J31" s="1" t="n">
        <f aca="false">J14*21</f>
        <v>619.92</v>
      </c>
      <c r="K31" s="1" t="n">
        <f aca="false">K14*21</f>
        <v>929.88</v>
      </c>
      <c r="L31" s="1" t="n">
        <f aca="false">L14*21</f>
        <v>1084.86</v>
      </c>
      <c r="M31" s="1" t="n">
        <f aca="false">M14*21</f>
        <v>1146.852</v>
      </c>
      <c r="N31" s="16" t="n">
        <f aca="false">N14*21</f>
        <v>1239.84</v>
      </c>
      <c r="O31" s="16" t="n">
        <f aca="false">O14*21</f>
        <v>1394.82</v>
      </c>
      <c r="Q31" s="26" t="n">
        <v>18</v>
      </c>
      <c r="R31" s="16" t="n">
        <f aca="false">R14*21</f>
        <v>756</v>
      </c>
      <c r="S31" s="16" t="n">
        <f aca="false">S14*21</f>
        <v>1134</v>
      </c>
      <c r="T31" s="16" t="n">
        <f aca="false">T14*21</f>
        <v>1323</v>
      </c>
      <c r="U31" s="16" t="n">
        <f aca="false">U14*21</f>
        <v>1398.6</v>
      </c>
      <c r="V31" s="16" t="n">
        <f aca="false">V14*21</f>
        <v>1512</v>
      </c>
      <c r="W31" s="16" t="n">
        <f aca="false">W14*21</f>
        <v>1701</v>
      </c>
    </row>
    <row r="32" customFormat="false" ht="12.8" hidden="false" customHeight="false" outlineLevel="0" collapsed="false">
      <c r="C32" s="17" t="n">
        <f aca="false">C31+$B$6</f>
        <v>18</v>
      </c>
      <c r="D32" s="18" t="n">
        <f aca="false">C32-(C32*0.18)</f>
        <v>14.76</v>
      </c>
      <c r="E32" s="19" t="n">
        <f aca="false">C32/1.18</f>
        <v>15.2542372881356</v>
      </c>
      <c r="F32" s="20" t="n">
        <f aca="false">D32/1.18</f>
        <v>12.5084745762712</v>
      </c>
      <c r="I32" s="26" t="n">
        <v>19</v>
      </c>
      <c r="J32" s="1" t="n">
        <f aca="false">J15*21</f>
        <v>654.36</v>
      </c>
      <c r="K32" s="1" t="n">
        <f aca="false">K15*21</f>
        <v>981.54</v>
      </c>
      <c r="L32" s="1" t="n">
        <f aca="false">L15*21</f>
        <v>1145.13</v>
      </c>
      <c r="M32" s="1" t="n">
        <f aca="false">M15*21</f>
        <v>1210.566</v>
      </c>
      <c r="N32" s="16" t="n">
        <f aca="false">N15*21</f>
        <v>1308.72</v>
      </c>
      <c r="O32" s="16" t="n">
        <f aca="false">O15*21</f>
        <v>1472.31</v>
      </c>
      <c r="Q32" s="26" t="n">
        <v>19</v>
      </c>
      <c r="R32" s="16" t="n">
        <f aca="false">R15*21</f>
        <v>798</v>
      </c>
      <c r="S32" s="16" t="n">
        <f aca="false">S15*21</f>
        <v>1197</v>
      </c>
      <c r="T32" s="16" t="n">
        <f aca="false">T15*21</f>
        <v>1396.5</v>
      </c>
      <c r="U32" s="16" t="n">
        <f aca="false">U15*21</f>
        <v>1476.3</v>
      </c>
      <c r="V32" s="16" t="n">
        <f aca="false">V15*21</f>
        <v>1596</v>
      </c>
      <c r="W32" s="16" t="n">
        <f aca="false">W15*21</f>
        <v>1795.5</v>
      </c>
    </row>
    <row r="33" customFormat="false" ht="12.8" hidden="false" customHeight="false" outlineLevel="0" collapsed="false">
      <c r="C33" s="17" t="n">
        <f aca="false">C32+$B$6</f>
        <v>18.25</v>
      </c>
      <c r="D33" s="18" t="n">
        <f aca="false">C33-(C33*0.18)</f>
        <v>14.965</v>
      </c>
      <c r="E33" s="19" t="n">
        <f aca="false">C33/1.18</f>
        <v>15.4661016949153</v>
      </c>
      <c r="F33" s="20" t="n">
        <f aca="false">D33/1.18</f>
        <v>12.6822033898305</v>
      </c>
      <c r="I33" s="26" t="n">
        <v>20</v>
      </c>
      <c r="J33" s="1" t="n">
        <f aca="false">J16*21</f>
        <v>688.8</v>
      </c>
      <c r="K33" s="1" t="n">
        <f aca="false">K16*21</f>
        <v>1033.2</v>
      </c>
      <c r="L33" s="1" t="n">
        <f aca="false">L16*21</f>
        <v>1205.4</v>
      </c>
      <c r="M33" s="1" t="n">
        <f aca="false">M16*21</f>
        <v>1274.28</v>
      </c>
      <c r="N33" s="16" t="n">
        <f aca="false">N16*21</f>
        <v>1377.6</v>
      </c>
      <c r="O33" s="16" t="n">
        <f aca="false">O16*21</f>
        <v>1549.8</v>
      </c>
      <c r="Q33" s="26" t="n">
        <v>20</v>
      </c>
      <c r="R33" s="16" t="n">
        <f aca="false">R16*21</f>
        <v>840</v>
      </c>
      <c r="S33" s="16" t="n">
        <f aca="false">S16*21</f>
        <v>1260</v>
      </c>
      <c r="T33" s="16" t="n">
        <f aca="false">T16*21</f>
        <v>1470</v>
      </c>
      <c r="U33" s="16" t="n">
        <f aca="false">U16*21</f>
        <v>1554</v>
      </c>
      <c r="V33" s="16" t="n">
        <f aca="false">V16*21</f>
        <v>1680</v>
      </c>
      <c r="W33" s="16" t="n">
        <f aca="false">W16*21</f>
        <v>1890</v>
      </c>
    </row>
    <row r="34" customFormat="false" ht="12.8" hidden="false" customHeight="true" outlineLevel="0" collapsed="false">
      <c r="C34" s="17" t="n">
        <f aca="false">C33+$B$6</f>
        <v>18.5</v>
      </c>
      <c r="D34" s="18" t="n">
        <f aca="false">C34-(C34*0.18)</f>
        <v>15.17</v>
      </c>
      <c r="E34" s="19" t="n">
        <f aca="false">C34/1.18</f>
        <v>15.6779661016949</v>
      </c>
      <c r="F34" s="20" t="n">
        <f aca="false">D34/1.18</f>
        <v>12.8559322033898</v>
      </c>
    </row>
    <row r="35" customFormat="false" ht="12.8" hidden="false" customHeight="false" outlineLevel="0" collapsed="false">
      <c r="C35" s="17" t="n">
        <f aca="false">C34+$B$6</f>
        <v>18.75</v>
      </c>
      <c r="D35" s="18" t="n">
        <f aca="false">C35-(C35*0.18)</f>
        <v>15.375</v>
      </c>
      <c r="E35" s="19" t="n">
        <f aca="false">C35/1.18</f>
        <v>15.8898305084746</v>
      </c>
      <c r="F35" s="20" t="n">
        <f aca="false">D35/1.18</f>
        <v>13.0296610169492</v>
      </c>
      <c r="I35" s="28" t="n">
        <v>50</v>
      </c>
      <c r="J35" s="28" t="n">
        <v>60</v>
      </c>
      <c r="K35" s="28" t="n">
        <v>70</v>
      </c>
      <c r="L35" s="28" t="n">
        <v>80</v>
      </c>
      <c r="M35" s="28" t="n">
        <v>90</v>
      </c>
      <c r="N35" s="28" t="n">
        <v>100</v>
      </c>
      <c r="O35" s="28" t="n">
        <v>110</v>
      </c>
    </row>
    <row r="36" customFormat="false" ht="12.8" hidden="false" customHeight="false" outlineLevel="0" collapsed="false">
      <c r="C36" s="17" t="n">
        <f aca="false">C35+$B$6</f>
        <v>19</v>
      </c>
      <c r="D36" s="18" t="n">
        <f aca="false">C36-(C36*0.18)</f>
        <v>15.58</v>
      </c>
      <c r="E36" s="19" t="n">
        <f aca="false">C36/1.18</f>
        <v>16.1016949152542</v>
      </c>
      <c r="F36" s="20" t="n">
        <f aca="false">D36/1.18</f>
        <v>13.2033898305085</v>
      </c>
      <c r="H36" s="29" t="n">
        <v>12</v>
      </c>
      <c r="I36" s="16" t="n">
        <f aca="false">50*I8</f>
        <v>600</v>
      </c>
      <c r="J36" s="16" t="n">
        <f aca="false">J$35*$I8</f>
        <v>720</v>
      </c>
      <c r="K36" s="16" t="n">
        <f aca="false">K$35*$I8</f>
        <v>840</v>
      </c>
      <c r="L36" s="16" t="n">
        <f aca="false">L$35*$I8</f>
        <v>960</v>
      </c>
      <c r="M36" s="16" t="n">
        <f aca="false">M$35*$I8</f>
        <v>1080</v>
      </c>
      <c r="N36" s="16" t="n">
        <f aca="false">N$35*$I8</f>
        <v>1200</v>
      </c>
      <c r="O36" s="16" t="n">
        <f aca="false">O$35*$I8</f>
        <v>1320</v>
      </c>
    </row>
    <row r="37" customFormat="false" ht="12.8" hidden="false" customHeight="false" outlineLevel="0" collapsed="false">
      <c r="C37" s="17" t="n">
        <f aca="false">C36+$B$6</f>
        <v>19.25</v>
      </c>
      <c r="D37" s="18" t="n">
        <f aca="false">C37-(C37*0.18)</f>
        <v>15.785</v>
      </c>
      <c r="E37" s="19" t="n">
        <f aca="false">C37/1.18</f>
        <v>16.3135593220339</v>
      </c>
      <c r="F37" s="20" t="n">
        <f aca="false">D37/1.18</f>
        <v>13.3771186440678</v>
      </c>
      <c r="H37" s="29" t="n">
        <v>13</v>
      </c>
      <c r="I37" s="16" t="n">
        <f aca="false">50*I9</f>
        <v>650</v>
      </c>
      <c r="J37" s="16" t="n">
        <f aca="false">J$35*$I9</f>
        <v>780</v>
      </c>
      <c r="K37" s="16" t="n">
        <f aca="false">K$35*$I9</f>
        <v>910</v>
      </c>
      <c r="L37" s="16" t="n">
        <f aca="false">L$35*$I9</f>
        <v>1040</v>
      </c>
      <c r="M37" s="16" t="n">
        <f aca="false">M$35*$I9</f>
        <v>1170</v>
      </c>
      <c r="N37" s="16" t="n">
        <f aca="false">N$35*$I9</f>
        <v>1300</v>
      </c>
      <c r="O37" s="16" t="n">
        <f aca="false">O$35*$I9</f>
        <v>1430</v>
      </c>
    </row>
    <row r="38" customFormat="false" ht="12.8" hidden="false" customHeight="false" outlineLevel="0" collapsed="false">
      <c r="C38" s="17" t="n">
        <f aca="false">C37+$B$6</f>
        <v>19.5</v>
      </c>
      <c r="D38" s="18" t="n">
        <f aca="false">C38-(C38*0.18)</f>
        <v>15.99</v>
      </c>
      <c r="E38" s="19" t="n">
        <f aca="false">C38/1.18</f>
        <v>16.5254237288136</v>
      </c>
      <c r="F38" s="20" t="n">
        <f aca="false">D38/1.18</f>
        <v>13.5508474576271</v>
      </c>
      <c r="H38" s="29" t="n">
        <v>14</v>
      </c>
      <c r="I38" s="16" t="n">
        <f aca="false">50*I10</f>
        <v>700</v>
      </c>
      <c r="J38" s="16" t="n">
        <f aca="false">J$35*$I10</f>
        <v>840</v>
      </c>
      <c r="K38" s="16" t="n">
        <f aca="false">K$35*$I10</f>
        <v>980</v>
      </c>
      <c r="L38" s="16" t="n">
        <f aca="false">L$35*$I10</f>
        <v>1120</v>
      </c>
      <c r="M38" s="16" t="n">
        <f aca="false">M$35*$I10</f>
        <v>1260</v>
      </c>
      <c r="N38" s="16" t="n">
        <f aca="false">N$35*$I10</f>
        <v>1400</v>
      </c>
      <c r="O38" s="16" t="n">
        <f aca="false">O$35*$I10</f>
        <v>1540</v>
      </c>
    </row>
    <row r="39" customFormat="false" ht="12.8" hidden="false" customHeight="false" outlineLevel="0" collapsed="false">
      <c r="C39" s="17" t="n">
        <f aca="false">C38+$B$6</f>
        <v>19.75</v>
      </c>
      <c r="D39" s="18" t="n">
        <f aca="false">C39-(C39*0.18)</f>
        <v>16.195</v>
      </c>
      <c r="E39" s="19" t="n">
        <f aca="false">C39/1.18</f>
        <v>16.7372881355932</v>
      </c>
      <c r="F39" s="20" t="n">
        <f aca="false">D39/1.18</f>
        <v>13.7245762711864</v>
      </c>
      <c r="H39" s="29" t="n">
        <v>15</v>
      </c>
      <c r="I39" s="16" t="n">
        <f aca="false">50*I11</f>
        <v>750</v>
      </c>
      <c r="J39" s="16" t="n">
        <f aca="false">J$35*$I11</f>
        <v>900</v>
      </c>
      <c r="K39" s="16" t="n">
        <f aca="false">K$35*$I11</f>
        <v>1050</v>
      </c>
      <c r="L39" s="16" t="n">
        <f aca="false">L$35*$I11</f>
        <v>1200</v>
      </c>
      <c r="M39" s="16" t="n">
        <f aca="false">M$35*$I11</f>
        <v>1350</v>
      </c>
      <c r="N39" s="16" t="n">
        <f aca="false">N$35*$I11</f>
        <v>1500</v>
      </c>
      <c r="O39" s="16" t="n">
        <f aca="false">O$35*$I11</f>
        <v>1650</v>
      </c>
    </row>
    <row r="40" customFormat="false" ht="12.8" hidden="false" customHeight="false" outlineLevel="0" collapsed="false">
      <c r="C40" s="17" t="n">
        <f aca="false">C39+$B$6</f>
        <v>20</v>
      </c>
      <c r="D40" s="18" t="n">
        <f aca="false">C40-(C40*0.18)</f>
        <v>16.4</v>
      </c>
      <c r="E40" s="19" t="n">
        <f aca="false">C40/1.18</f>
        <v>16.9491525423729</v>
      </c>
      <c r="F40" s="20" t="n">
        <f aca="false">D40/1.18</f>
        <v>13.8983050847458</v>
      </c>
      <c r="H40" s="29" t="n">
        <v>16</v>
      </c>
      <c r="I40" s="16" t="n">
        <f aca="false">50*I12</f>
        <v>800</v>
      </c>
      <c r="J40" s="16" t="n">
        <f aca="false">J$35*$I12</f>
        <v>960</v>
      </c>
      <c r="K40" s="16" t="n">
        <f aca="false">K$35*$I12</f>
        <v>1120</v>
      </c>
      <c r="L40" s="16" t="n">
        <f aca="false">L$35*$I12</f>
        <v>1280</v>
      </c>
      <c r="M40" s="16" t="n">
        <f aca="false">M$35*$I12</f>
        <v>1440</v>
      </c>
      <c r="N40" s="16" t="n">
        <f aca="false">N$35*$I12</f>
        <v>1600</v>
      </c>
      <c r="O40" s="16" t="n">
        <f aca="false">O$35*$I12</f>
        <v>1760</v>
      </c>
    </row>
    <row r="41" customFormat="false" ht="12.8" hidden="false" customHeight="false" outlineLevel="0" collapsed="false">
      <c r="C41" s="17" t="n">
        <f aca="false">C40+$B$6</f>
        <v>20.25</v>
      </c>
      <c r="D41" s="18" t="n">
        <f aca="false">C41-(C41*0.18)</f>
        <v>16.605</v>
      </c>
      <c r="E41" s="19" t="n">
        <f aca="false">C41/1.18</f>
        <v>17.1610169491525</v>
      </c>
      <c r="F41" s="20" t="n">
        <f aca="false">D41/1.18</f>
        <v>14.0720338983051</v>
      </c>
      <c r="H41" s="29" t="n">
        <v>17</v>
      </c>
      <c r="I41" s="16" t="n">
        <f aca="false">50*I13</f>
        <v>850</v>
      </c>
      <c r="J41" s="16" t="n">
        <f aca="false">J$35*$I13</f>
        <v>1020</v>
      </c>
      <c r="K41" s="16" t="n">
        <f aca="false">K$35*$I13</f>
        <v>1190</v>
      </c>
      <c r="L41" s="16" t="n">
        <f aca="false">L$35*$I13</f>
        <v>1360</v>
      </c>
      <c r="M41" s="16" t="n">
        <f aca="false">M$35*$I13</f>
        <v>1530</v>
      </c>
      <c r="N41" s="16" t="n">
        <f aca="false">N$35*$I13</f>
        <v>1700</v>
      </c>
      <c r="O41" s="16" t="n">
        <f aca="false">O$35*$I13</f>
        <v>1870</v>
      </c>
    </row>
    <row r="42" customFormat="false" ht="12.8" hidden="false" customHeight="false" outlineLevel="0" collapsed="false">
      <c r="C42" s="17" t="n">
        <f aca="false">C41+$B$6</f>
        <v>20.5</v>
      </c>
      <c r="D42" s="18" t="n">
        <f aca="false">C42-(C42*0.18)</f>
        <v>16.81</v>
      </c>
      <c r="E42" s="19" t="n">
        <f aca="false">C42/1.18</f>
        <v>17.3728813559322</v>
      </c>
      <c r="F42" s="20" t="n">
        <f aca="false">D42/1.18</f>
        <v>14.2457627118644</v>
      </c>
      <c r="H42" s="29" t="n">
        <v>18</v>
      </c>
      <c r="I42" s="16" t="n">
        <f aca="false">50*I14</f>
        <v>900</v>
      </c>
      <c r="J42" s="16" t="n">
        <f aca="false">J$35*$I14</f>
        <v>1080</v>
      </c>
      <c r="K42" s="16" t="n">
        <f aca="false">K$35*$I14</f>
        <v>1260</v>
      </c>
      <c r="L42" s="16" t="n">
        <f aca="false">L$35*$I14</f>
        <v>1440</v>
      </c>
      <c r="M42" s="16" t="n">
        <f aca="false">M$35*$I14</f>
        <v>1620</v>
      </c>
      <c r="N42" s="16" t="n">
        <f aca="false">N$35*$I14</f>
        <v>1800</v>
      </c>
      <c r="O42" s="16" t="n">
        <f aca="false">O$35*$I14</f>
        <v>1980</v>
      </c>
    </row>
    <row r="43" customFormat="false" ht="12.8" hidden="false" customHeight="true" outlineLevel="0" collapsed="false">
      <c r="C43" s="17" t="n">
        <f aca="false">C42+$B$6</f>
        <v>20.75</v>
      </c>
      <c r="D43" s="18" t="n">
        <f aca="false">C43-(C43*0.18)</f>
        <v>17.015</v>
      </c>
      <c r="E43" s="19" t="n">
        <f aca="false">C43/1.18</f>
        <v>17.5847457627119</v>
      </c>
      <c r="F43" s="20" t="n">
        <f aca="false">D43/1.18</f>
        <v>14.4194915254237</v>
      </c>
      <c r="H43" s="29" t="n">
        <v>19</v>
      </c>
      <c r="I43" s="16" t="n">
        <f aca="false">50*I15</f>
        <v>950</v>
      </c>
      <c r="J43" s="16" t="n">
        <f aca="false">J$35*$I15</f>
        <v>1140</v>
      </c>
      <c r="K43" s="16" t="n">
        <f aca="false">K$35*$I15</f>
        <v>1330</v>
      </c>
      <c r="L43" s="16" t="n">
        <f aca="false">L$35*$I15</f>
        <v>1520</v>
      </c>
      <c r="M43" s="16" t="n">
        <f aca="false">M$35*$I15</f>
        <v>1710</v>
      </c>
      <c r="N43" s="16" t="n">
        <f aca="false">N$35*$I15</f>
        <v>1900</v>
      </c>
      <c r="O43" s="16" t="n">
        <f aca="false">O$35*$I15</f>
        <v>2090</v>
      </c>
    </row>
    <row r="44" customFormat="false" ht="12.8" hidden="false" customHeight="true" outlineLevel="0" collapsed="false">
      <c r="C44" s="17" t="n">
        <f aca="false">C43+$B$6</f>
        <v>21</v>
      </c>
      <c r="D44" s="18" t="n">
        <f aca="false">C44-(C44*0.18)</f>
        <v>17.22</v>
      </c>
      <c r="E44" s="19" t="n">
        <f aca="false">C44/1.18</f>
        <v>17.7966101694915</v>
      </c>
      <c r="F44" s="20" t="n">
        <f aca="false">D44/1.18</f>
        <v>14.5932203389831</v>
      </c>
    </row>
    <row r="45" customFormat="false" ht="12.8" hidden="false" customHeight="true" outlineLevel="0" collapsed="false">
      <c r="C45" s="17" t="n">
        <f aca="false">C44+$B$6</f>
        <v>21.25</v>
      </c>
      <c r="D45" s="18" t="n">
        <f aca="false">C45-(C45*0.18)</f>
        <v>17.425</v>
      </c>
      <c r="E45" s="19" t="n">
        <f aca="false">C45/1.18</f>
        <v>18.0084745762712</v>
      </c>
      <c r="F45" s="20" t="n">
        <f aca="false">D45/1.18</f>
        <v>14.7669491525424</v>
      </c>
    </row>
    <row r="46" customFormat="false" ht="12.8" hidden="false" customHeight="true" outlineLevel="0" collapsed="false">
      <c r="C46" s="17" t="n">
        <f aca="false">C45+$B$6</f>
        <v>21.5</v>
      </c>
      <c r="D46" s="18" t="n">
        <f aca="false">C46-(C46*0.18)</f>
        <v>17.63</v>
      </c>
      <c r="E46" s="19" t="n">
        <f aca="false">C46/1.18</f>
        <v>18.2203389830508</v>
      </c>
      <c r="F46" s="20" t="n">
        <f aca="false">D46/1.18</f>
        <v>14.9406779661017</v>
      </c>
    </row>
    <row r="47" customFormat="false" ht="12.8" hidden="false" customHeight="true" outlineLevel="0" collapsed="false">
      <c r="C47" s="17" t="n">
        <f aca="false">C46+$B$6</f>
        <v>21.75</v>
      </c>
      <c r="D47" s="18" t="n">
        <f aca="false">C47-(C47*0.18)</f>
        <v>17.835</v>
      </c>
      <c r="E47" s="19" t="n">
        <f aca="false">C47/1.18</f>
        <v>18.4322033898305</v>
      </c>
      <c r="F47" s="20" t="n">
        <f aca="false">D47/1.18</f>
        <v>15.114406779661</v>
      </c>
    </row>
    <row r="48" customFormat="false" ht="12.8" hidden="false" customHeight="true" outlineLevel="0" collapsed="false">
      <c r="C48" s="17" t="n">
        <f aca="false">C47+$B$6</f>
        <v>22</v>
      </c>
      <c r="D48" s="18" t="n">
        <f aca="false">C48-(C48*0.18)</f>
        <v>18.04</v>
      </c>
      <c r="E48" s="19" t="n">
        <f aca="false">C48/1.18</f>
        <v>18.6440677966102</v>
      </c>
      <c r="F48" s="20" t="n">
        <f aca="false">D48/1.18</f>
        <v>15.2881355932203</v>
      </c>
    </row>
    <row r="49" customFormat="false" ht="12.8" hidden="false" customHeight="true" outlineLevel="0" collapsed="false">
      <c r="C49" s="17" t="n">
        <f aca="false">C48+$B$6</f>
        <v>22.25</v>
      </c>
      <c r="D49" s="18" t="n">
        <f aca="false">C49-(C49*0.18)</f>
        <v>18.245</v>
      </c>
      <c r="E49" s="19" t="n">
        <f aca="false">C49/1.18</f>
        <v>18.8559322033898</v>
      </c>
      <c r="F49" s="20" t="n">
        <f aca="false">D49/1.18</f>
        <v>15.4618644067797</v>
      </c>
    </row>
    <row r="50" customFormat="false" ht="12.8" hidden="false" customHeight="true" outlineLevel="0" collapsed="false">
      <c r="C50" s="17" t="n">
        <f aca="false">C49+$B$6</f>
        <v>22.5</v>
      </c>
      <c r="D50" s="18" t="n">
        <f aca="false">C50-(C50*0.18)</f>
        <v>18.45</v>
      </c>
      <c r="E50" s="19" t="n">
        <f aca="false">C50/1.18</f>
        <v>19.0677966101695</v>
      </c>
      <c r="F50" s="20" t="n">
        <f aca="false">D50/1.18</f>
        <v>15.635593220339</v>
      </c>
    </row>
    <row r="51" customFormat="false" ht="12.8" hidden="false" customHeight="true" outlineLevel="0" collapsed="false">
      <c r="C51" s="17" t="n">
        <f aca="false">C50+$B$6</f>
        <v>22.75</v>
      </c>
      <c r="D51" s="18" t="n">
        <f aca="false">C51-(C51*0.18)</f>
        <v>18.655</v>
      </c>
      <c r="E51" s="19" t="n">
        <f aca="false">C51/1.18</f>
        <v>19.2796610169492</v>
      </c>
      <c r="F51" s="20" t="n">
        <f aca="false">D51/1.18</f>
        <v>15.8093220338983</v>
      </c>
    </row>
    <row r="52" customFormat="false" ht="12.8" hidden="false" customHeight="true" outlineLevel="0" collapsed="false">
      <c r="C52" s="17" t="n">
        <f aca="false">C51+$B$6</f>
        <v>23</v>
      </c>
      <c r="D52" s="18" t="n">
        <f aca="false">C52-(C52*0.18)</f>
        <v>18.86</v>
      </c>
      <c r="E52" s="19" t="n">
        <f aca="false">C52/1.18</f>
        <v>19.4915254237288</v>
      </c>
      <c r="F52" s="20" t="n">
        <f aca="false">D52/1.18</f>
        <v>15.9830508474576</v>
      </c>
    </row>
    <row r="53" customFormat="false" ht="12.8" hidden="false" customHeight="true" outlineLevel="0" collapsed="false">
      <c r="C53" s="17" t="n">
        <f aca="false">C52+$B$6</f>
        <v>23.25</v>
      </c>
      <c r="D53" s="18" t="n">
        <f aca="false">C53-(C53*0.18)</f>
        <v>19.065</v>
      </c>
      <c r="E53" s="19" t="n">
        <f aca="false">C53/1.18</f>
        <v>19.7033898305085</v>
      </c>
      <c r="F53" s="20" t="n">
        <f aca="false">D53/1.18</f>
        <v>16.156779661017</v>
      </c>
    </row>
    <row r="54" customFormat="false" ht="12.8" hidden="false" customHeight="true" outlineLevel="0" collapsed="false">
      <c r="C54" s="17" t="n">
        <f aca="false">C53+$B$6</f>
        <v>23.5</v>
      </c>
      <c r="D54" s="18" t="n">
        <f aca="false">C54-(C54*0.18)</f>
        <v>19.27</v>
      </c>
      <c r="E54" s="19" t="n">
        <f aca="false">C54/1.18</f>
        <v>19.9152542372881</v>
      </c>
      <c r="F54" s="20" t="n">
        <f aca="false">D54/1.18</f>
        <v>16.3305084745763</v>
      </c>
    </row>
    <row r="55" customFormat="false" ht="12.8" hidden="false" customHeight="true" outlineLevel="0" collapsed="false">
      <c r="C55" s="17" t="n">
        <f aca="false">C54+$B$6</f>
        <v>23.75</v>
      </c>
      <c r="D55" s="18" t="n">
        <f aca="false">C55-(C55*0.18)</f>
        <v>19.475</v>
      </c>
      <c r="E55" s="19" t="n">
        <f aca="false">C55/1.18</f>
        <v>20.1271186440678</v>
      </c>
      <c r="F55" s="20" t="n">
        <f aca="false">D55/1.18</f>
        <v>16.5042372881356</v>
      </c>
    </row>
    <row r="56" customFormat="false" ht="12.8" hidden="false" customHeight="true" outlineLevel="0" collapsed="false">
      <c r="C56" s="17" t="n">
        <f aca="false">C55+$B$6</f>
        <v>24</v>
      </c>
      <c r="D56" s="18" t="n">
        <f aca="false">C56-(C56*0.18)</f>
        <v>19.68</v>
      </c>
      <c r="E56" s="19" t="n">
        <f aca="false">C56/1.18</f>
        <v>20.3389830508475</v>
      </c>
      <c r="F56" s="20" t="n">
        <f aca="false">D56/1.18</f>
        <v>16.6779661016949</v>
      </c>
    </row>
    <row r="57" customFormat="false" ht="12.8" hidden="false" customHeight="true" outlineLevel="0" collapsed="false">
      <c r="C57" s="17" t="n">
        <f aca="false">C56+$B$6</f>
        <v>24.25</v>
      </c>
      <c r="D57" s="18" t="n">
        <f aca="false">C57-(C57*0.18)</f>
        <v>19.885</v>
      </c>
      <c r="E57" s="19" t="n">
        <f aca="false">C57/1.18</f>
        <v>20.5508474576271</v>
      </c>
      <c r="F57" s="20" t="n">
        <f aca="false">D57/1.18</f>
        <v>16.8516949152542</v>
      </c>
    </row>
    <row r="58" customFormat="false" ht="12.8" hidden="false" customHeight="true" outlineLevel="0" collapsed="false">
      <c r="C58" s="17" t="n">
        <f aca="false">C57+$B$6</f>
        <v>24.5</v>
      </c>
      <c r="D58" s="18" t="n">
        <f aca="false">C58-(C58*0.18)</f>
        <v>20.09</v>
      </c>
      <c r="E58" s="19" t="n">
        <f aca="false">C58/1.18</f>
        <v>20.7627118644068</v>
      </c>
      <c r="F58" s="20" t="n">
        <f aca="false">D58/1.18</f>
        <v>17.0254237288136</v>
      </c>
    </row>
    <row r="59" customFormat="false" ht="12.8" hidden="false" customHeight="true" outlineLevel="0" collapsed="false">
      <c r="C59" s="17" t="n">
        <f aca="false">C58+$B$6</f>
        <v>24.75</v>
      </c>
      <c r="D59" s="18" t="n">
        <f aca="false">C59-(C59*0.18)</f>
        <v>20.295</v>
      </c>
      <c r="E59" s="19" t="n">
        <f aca="false">C59/1.18</f>
        <v>20.9745762711864</v>
      </c>
      <c r="F59" s="20" t="n">
        <f aca="false">D59/1.18</f>
        <v>17.1991525423729</v>
      </c>
    </row>
    <row r="60" customFormat="false" ht="12.8" hidden="false" customHeight="true" outlineLevel="0" collapsed="false">
      <c r="C60" s="17" t="n">
        <f aca="false">C59+$B$6</f>
        <v>25</v>
      </c>
      <c r="D60" s="18" t="n">
        <f aca="false">C60-(C60*0.18)</f>
        <v>20.5</v>
      </c>
      <c r="E60" s="19" t="n">
        <f aca="false">C60/1.18</f>
        <v>21.1864406779661</v>
      </c>
      <c r="F60" s="20" t="n">
        <f aca="false">D60/1.18</f>
        <v>17.3728813559322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80"/>
  <sheetViews>
    <sheetView showFormulas="false" showGridLines="true" showRowColHeaders="true" showZeros="false" rightToLeft="false" tabSelected="false" showOutlineSymbols="true" defaultGridColor="true" view="normal" topLeftCell="Y1" colorId="64" zoomScale="110" zoomScaleNormal="110" zoomScalePageLayoutView="100" workbookViewId="0">
      <selection pane="topLeft" activeCell="AI4" activeCellId="0" sqref="AI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28"/>
    <col collapsed="false" customWidth="true" hidden="false" outlineLevel="0" max="2" min="2" style="1" width="16.31"/>
    <col collapsed="false" customWidth="true" hidden="false" outlineLevel="0" max="3" min="3" style="1" width="7.5"/>
    <col collapsed="false" customWidth="true" hidden="false" outlineLevel="0" max="4" min="4" style="1" width="9.74"/>
    <col collapsed="false" customWidth="true" hidden="false" outlineLevel="0" max="5" min="5" style="1" width="8.62"/>
    <col collapsed="false" customWidth="true" hidden="false" outlineLevel="0" max="8" min="8" style="1" width="14.47"/>
    <col collapsed="false" customWidth="true" hidden="false" outlineLevel="0" max="36" min="9" style="1" width="11.26"/>
  </cols>
  <sheetData>
    <row r="1" customFormat="false" ht="12.8" hidden="false" customHeight="false" outlineLevel="0" collapsed="false"/>
    <row r="2" customFormat="false" ht="12.8" hidden="false" customHeight="false" outlineLevel="0" collapsed="false">
      <c r="B2" s="1" t="s">
        <v>13</v>
      </c>
      <c r="C2" s="1" t="n">
        <v>1.18</v>
      </c>
      <c r="G2" s="1" t="s">
        <v>14</v>
      </c>
      <c r="J2" s="1" t="n">
        <v>202</v>
      </c>
      <c r="K2" s="1" t="n">
        <v>202</v>
      </c>
      <c r="L2" s="1" t="n">
        <v>197</v>
      </c>
      <c r="O2" s="1" t="n">
        <v>1107</v>
      </c>
      <c r="Q2" s="1" t="n">
        <v>1135</v>
      </c>
      <c r="S2" s="8" t="n">
        <v>1193</v>
      </c>
      <c r="Z2" s="8" t="n">
        <v>1429</v>
      </c>
      <c r="AA2" s="8" t="n">
        <v>1429</v>
      </c>
      <c r="AD2" s="1" t="n">
        <v>1627</v>
      </c>
      <c r="AE2" s="1" t="n">
        <v>1672</v>
      </c>
      <c r="AG2" s="1" t="n">
        <v>1721</v>
      </c>
      <c r="AH2" s="1" t="n">
        <v>1768</v>
      </c>
      <c r="AI2" s="1" t="n">
        <v>1865</v>
      </c>
    </row>
    <row r="3" customFormat="false" ht="12.8" hidden="false" customHeight="true" outlineLevel="0" collapsed="false">
      <c r="B3" s="1" t="s">
        <v>15</v>
      </c>
      <c r="C3" s="1" t="n">
        <v>0.18</v>
      </c>
      <c r="G3" s="1" t="s">
        <v>3</v>
      </c>
      <c r="I3" s="1" t="n">
        <v>211</v>
      </c>
      <c r="J3" s="8" t="n">
        <v>244</v>
      </c>
      <c r="K3" s="1" t="n">
        <v>218</v>
      </c>
      <c r="L3" s="1" t="n">
        <v>278</v>
      </c>
      <c r="O3" s="8" t="n">
        <v>280</v>
      </c>
      <c r="Q3" s="8" t="n">
        <v>345</v>
      </c>
      <c r="S3" s="8" t="n">
        <v>381</v>
      </c>
      <c r="U3" s="8" t="n">
        <v>260</v>
      </c>
      <c r="Z3" s="8" t="n">
        <v>248</v>
      </c>
      <c r="AA3" s="8" t="n">
        <v>194</v>
      </c>
      <c r="AD3" s="1" t="n">
        <v>193</v>
      </c>
      <c r="AE3" s="1" t="n">
        <v>193</v>
      </c>
      <c r="AG3" s="8" t="n">
        <v>271</v>
      </c>
      <c r="AH3" s="1" t="n">
        <v>177</v>
      </c>
      <c r="AI3" s="1" t="n">
        <v>65</v>
      </c>
    </row>
    <row r="4" customFormat="false" ht="12.8" hidden="false" customHeight="true" outlineLevel="0" collapsed="false">
      <c r="G4" s="1" t="s">
        <v>16</v>
      </c>
      <c r="I4" s="1" t="n">
        <v>21</v>
      </c>
      <c r="J4" s="1" t="n">
        <v>21</v>
      </c>
      <c r="K4" s="1" t="n">
        <v>21</v>
      </c>
      <c r="Z4" s="1" t="s">
        <v>17</v>
      </c>
      <c r="AD4" s="1" t="s">
        <v>18</v>
      </c>
      <c r="AG4" s="1" t="s">
        <v>19</v>
      </c>
      <c r="AH4" s="1" t="s">
        <v>20</v>
      </c>
    </row>
    <row r="5" customFormat="false" ht="12.8" hidden="false" customHeight="true" outlineLevel="0" collapsed="false">
      <c r="AC5" s="1" t="s">
        <v>21</v>
      </c>
      <c r="AH5" s="1" t="s">
        <v>22</v>
      </c>
    </row>
    <row r="11" customFormat="false" ht="12.8" hidden="false" customHeight="false" outlineLevel="0" collapsed="false">
      <c r="A11" s="30"/>
      <c r="B11" s="30" t="s">
        <v>23</v>
      </c>
      <c r="C11" s="30" t="n">
        <v>3</v>
      </c>
      <c r="D11" s="30"/>
      <c r="E11" s="30"/>
      <c r="F11" s="30"/>
      <c r="G11" s="30"/>
      <c r="H11" s="31" t="n">
        <f aca="false">H$20*$C$11+H$18</f>
        <v>896.593559322034</v>
      </c>
      <c r="I11" s="31" t="n">
        <f aca="false">I$20*$C$11+I$18</f>
        <v>884.309117126233</v>
      </c>
      <c r="J11" s="31" t="n">
        <f aca="false">J$20*$C$11+J$18</f>
        <v>931.361162227603</v>
      </c>
      <c r="K11" s="31" t="n">
        <f aca="false">K$20*$C$11+K$18</f>
        <v>944.10789346247</v>
      </c>
      <c r="L11" s="31" t="n">
        <f aca="false">L$20*$C$11+L$18</f>
        <v>944.10789346247</v>
      </c>
      <c r="M11" s="31" t="n">
        <f aca="false">M$20*$C$11+M$18</f>
        <v>966.202227602906</v>
      </c>
      <c r="N11" s="31" t="n">
        <f aca="false">N$20*$C$11+N$18</f>
        <v>966.202227602906</v>
      </c>
      <c r="O11" s="31" t="n">
        <f aca="false">O$20*$C$11+O$18</f>
        <v>953.455496368039</v>
      </c>
      <c r="P11" s="31" t="n">
        <f aca="false">P$20*$C$11+P$18</f>
        <v>953.455496368039</v>
      </c>
      <c r="Q11" s="31" t="n">
        <f aca="false">Q$20*$C$11+Q$18</f>
        <v>953.455496368039</v>
      </c>
      <c r="R11" s="31" t="n">
        <f aca="false">R$20*$C$11+R$18</f>
        <v>953.455496368039</v>
      </c>
      <c r="S11" s="31" t="n">
        <f aca="false">S$20*$C$11+S$18</f>
        <v>953.455496368039</v>
      </c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customFormat="false" ht="12.8" hidden="false" customHeight="false" outlineLevel="0" collapsed="false">
      <c r="A12" s="30"/>
      <c r="B12" s="30"/>
      <c r="C12" s="30"/>
      <c r="D12" s="30"/>
      <c r="E12" s="30"/>
      <c r="F12" s="30"/>
      <c r="G12" s="30"/>
      <c r="H12" s="32" t="n">
        <f aca="false">H11/$C$2</f>
        <v>759.82505027291</v>
      </c>
      <c r="I12" s="32" t="n">
        <f aca="false">I11/$C$2</f>
        <v>749.414506039181</v>
      </c>
      <c r="J12" s="32" t="n">
        <f aca="false">J11/$C$2</f>
        <v>789.289120531867</v>
      </c>
      <c r="K12" s="32" t="n">
        <f aca="false">K11/$C$2</f>
        <v>800.091435137686</v>
      </c>
      <c r="L12" s="32" t="n">
        <f aca="false">L11/$C$2</f>
        <v>800.091435137686</v>
      </c>
      <c r="M12" s="32" t="n">
        <f aca="false">M11/$C$2</f>
        <v>818.815447121107</v>
      </c>
      <c r="N12" s="32" t="n">
        <f aca="false">N11/$C$2</f>
        <v>818.815447121107</v>
      </c>
      <c r="O12" s="32" t="n">
        <f aca="false">O11/$C$2</f>
        <v>808.013132515287</v>
      </c>
      <c r="P12" s="32" t="n">
        <f aca="false">P11/$C$2</f>
        <v>808.013132515287</v>
      </c>
      <c r="Q12" s="32" t="n">
        <f aca="false">Q11/$C$2</f>
        <v>808.013132515287</v>
      </c>
      <c r="R12" s="32" t="n">
        <f aca="false">R11/$C$2</f>
        <v>808.013132515287</v>
      </c>
      <c r="S12" s="32" t="n">
        <f aca="false">S11/$C$2</f>
        <v>808.013132515287</v>
      </c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4" customFormat="false" ht="12.8" hidden="false" customHeight="false" outlineLevel="0" collapsed="false">
      <c r="A14" s="33"/>
      <c r="B14" s="33" t="s">
        <v>24</v>
      </c>
      <c r="C14" s="33"/>
      <c r="D14" s="33"/>
      <c r="E14" s="33"/>
      <c r="F14" s="34" t="n">
        <v>1</v>
      </c>
      <c r="G14" s="34" t="n">
        <v>2</v>
      </c>
      <c r="H14" s="34" t="n">
        <v>3</v>
      </c>
      <c r="I14" s="34" t="n">
        <v>4</v>
      </c>
      <c r="J14" s="34" t="n">
        <v>5</v>
      </c>
      <c r="K14" s="34" t="n">
        <v>6</v>
      </c>
      <c r="L14" s="34" t="n">
        <v>7</v>
      </c>
      <c r="M14" s="34" t="n">
        <v>8</v>
      </c>
      <c r="N14" s="34" t="n">
        <v>9</v>
      </c>
      <c r="O14" s="34" t="n">
        <v>10</v>
      </c>
      <c r="P14" s="34" t="n">
        <v>11</v>
      </c>
      <c r="Q14" s="34" t="n">
        <v>12</v>
      </c>
      <c r="R14" s="34" t="n">
        <v>13</v>
      </c>
      <c r="S14" s="34" t="n">
        <v>14</v>
      </c>
      <c r="T14" s="34" t="n">
        <v>15</v>
      </c>
      <c r="U14" s="34" t="n">
        <v>16</v>
      </c>
      <c r="V14" s="34" t="n">
        <v>17</v>
      </c>
      <c r="W14" s="34" t="n">
        <v>18</v>
      </c>
      <c r="X14" s="34" t="n">
        <v>19</v>
      </c>
      <c r="Y14" s="34" t="n">
        <v>20</v>
      </c>
      <c r="Z14" s="34" t="n">
        <v>21</v>
      </c>
      <c r="AA14" s="34" t="n">
        <v>22</v>
      </c>
      <c r="AB14" s="34" t="n">
        <v>23</v>
      </c>
      <c r="AC14" s="34" t="n">
        <v>24</v>
      </c>
      <c r="AD14" s="34" t="n">
        <v>25</v>
      </c>
      <c r="AE14" s="34" t="n">
        <v>26</v>
      </c>
      <c r="AF14" s="34" t="n">
        <v>27</v>
      </c>
      <c r="AG14" s="34" t="n">
        <v>28</v>
      </c>
      <c r="AH14" s="34" t="n">
        <v>29</v>
      </c>
      <c r="AI14" s="34" t="n">
        <v>30</v>
      </c>
      <c r="AJ14" s="34" t="n">
        <v>31</v>
      </c>
    </row>
    <row r="15" customFormat="false" ht="12.8" hidden="false" customHeight="false" outlineLevel="0" collapsed="false">
      <c r="A15" s="35"/>
      <c r="B15" s="33"/>
      <c r="C15" s="33"/>
      <c r="D15" s="33"/>
      <c r="E15" s="33"/>
      <c r="F15" s="33"/>
      <c r="G15" s="33"/>
      <c r="H15" s="36" t="n">
        <f aca="false">SUM(H24:H48)</f>
        <v>68</v>
      </c>
      <c r="I15" s="36" t="n">
        <f aca="false">SUM(I24:I48)</f>
        <v>67</v>
      </c>
      <c r="J15" s="36" t="n">
        <f aca="false">SUM(J24:J48)</f>
        <v>70</v>
      </c>
      <c r="K15" s="36" t="n">
        <f aca="false">SUM(K$24:K$48)</f>
        <v>71</v>
      </c>
      <c r="L15" s="36" t="n">
        <f aca="false">SUM(L$24:L$48)</f>
        <v>71</v>
      </c>
      <c r="M15" s="36" t="n">
        <f aca="false">SUM(M$24:M$48)</f>
        <v>73</v>
      </c>
      <c r="N15" s="36" t="n">
        <f aca="false">SUM(N$24:N$48)</f>
        <v>73</v>
      </c>
      <c r="O15" s="36" t="n">
        <f aca="false">SUM(O$24:O$48)</f>
        <v>72</v>
      </c>
      <c r="P15" s="36" t="n">
        <f aca="false">SUM(P$24:P$48)</f>
        <v>72</v>
      </c>
      <c r="Q15" s="36" t="n">
        <f aca="false">SUM(Q$24:Q$48)</f>
        <v>72</v>
      </c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</row>
    <row r="16" customFormat="false" ht="12.8" hidden="false" customHeight="false" outlineLevel="0" collapsed="false">
      <c r="A16" s="35"/>
      <c r="B16" s="33"/>
      <c r="C16" s="33"/>
      <c r="D16" s="33"/>
      <c r="E16" s="33"/>
      <c r="F16" s="33"/>
      <c r="G16" s="33"/>
      <c r="H16" s="37" t="n">
        <f aca="false">SUMPRODUCT(H$23:H$46,$C$23:$C$46)</f>
        <v>978</v>
      </c>
      <c r="I16" s="37" t="n">
        <f aca="false">SUMPRODUCT(I$23:I$46,$C$23:$C$46)</f>
        <v>963</v>
      </c>
      <c r="J16" s="37" t="n">
        <f aca="false">SUMPRODUCT(J$23:J$46,$C$23:$C$46)</f>
        <v>963</v>
      </c>
      <c r="K16" s="37" t="n">
        <f aca="false">SUMPRODUCT(K$23:K$46,$C$23:$C$46)</f>
        <v>978</v>
      </c>
      <c r="L16" s="37" t="n">
        <f aca="false">SUMPRODUCT(L$23:L$46,$C$23:$C$46)</f>
        <v>978</v>
      </c>
      <c r="M16" s="37" t="n">
        <f aca="false">SUMPRODUCT(M$23:M$46,$C$23:$C$46)</f>
        <v>1004</v>
      </c>
      <c r="N16" s="37" t="n">
        <f aca="false">SUMPRODUCT(N$23:N$46,$C$23:$C$46)</f>
        <v>1004</v>
      </c>
      <c r="O16" s="37" t="n">
        <f aca="false">SUMPRODUCT(O$23:O$46,$C$23:$C$46)</f>
        <v>989</v>
      </c>
      <c r="P16" s="37" t="n">
        <f aca="false">SUMPRODUCT(P$23:P$46,$C$23:$C$46)</f>
        <v>989</v>
      </c>
      <c r="Q16" s="37" t="n">
        <f aca="false">SUMPRODUCT(Q$23:Q$46,$C$23:$C$46)</f>
        <v>989</v>
      </c>
      <c r="R16" s="37" t="n">
        <f aca="false">SUMPRODUCT(R$23:R$46,$C$23:$C$46)</f>
        <v>989</v>
      </c>
      <c r="S16" s="37" t="n">
        <f aca="false">SUMPRODUCT(S$23:S$46,$C$23:$C$46)</f>
        <v>989</v>
      </c>
      <c r="T16" s="37" t="n">
        <f aca="false">SUMPRODUCT(T$23:T$46,$C$23:$C$46)</f>
        <v>989</v>
      </c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</row>
    <row r="17" customFormat="false" ht="12.8" hidden="false" customHeight="false" outlineLevel="0" collapsed="false">
      <c r="A17" s="33"/>
      <c r="B17" s="33"/>
      <c r="C17" s="38"/>
      <c r="D17" s="38"/>
      <c r="E17" s="38"/>
      <c r="F17" s="38"/>
      <c r="G17" s="38"/>
      <c r="H17" s="39" t="n">
        <f aca="false">H16+(H16*0.18)-H16</f>
        <v>176.04</v>
      </c>
      <c r="I17" s="39" t="n">
        <f aca="false">I16+(I16*0.18)-I16</f>
        <v>173.34</v>
      </c>
      <c r="J17" s="39" t="n">
        <f aca="false">J16+(J16*0.18)-J16</f>
        <v>173.34</v>
      </c>
      <c r="K17" s="39" t="n">
        <f aca="false">K16+(K16*0.18)-K16</f>
        <v>176.04</v>
      </c>
      <c r="L17" s="39" t="n">
        <f aca="false">L16+(L16*0.18)-L16</f>
        <v>176.04</v>
      </c>
      <c r="M17" s="39" t="n">
        <f aca="false">M16+(M16*0.18)-M16</f>
        <v>180.72</v>
      </c>
      <c r="N17" s="39" t="n">
        <f aca="false">N16+(N16*0.18)-N16</f>
        <v>180.72</v>
      </c>
      <c r="O17" s="39" t="n">
        <f aca="false">O16+(O16*0.18)-O16</f>
        <v>178.02</v>
      </c>
      <c r="P17" s="39" t="n">
        <f aca="false">P16+(P16*0.18)-P16</f>
        <v>178.02</v>
      </c>
      <c r="Q17" s="39" t="n">
        <f aca="false">Q16+(Q16*0.18)-Q16</f>
        <v>178.02</v>
      </c>
      <c r="R17" s="39" t="n">
        <f aca="false">R16+(R16*0.18)-R16</f>
        <v>178.02</v>
      </c>
      <c r="S17" s="39" t="n">
        <f aca="false">S16+(S16*0.18)-S16</f>
        <v>178.02</v>
      </c>
      <c r="T17" s="39" t="n">
        <f aca="false">T16+(T16*0.18)-T16</f>
        <v>178.02</v>
      </c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</row>
    <row r="18" customFormat="false" ht="12.8" hidden="false" customHeight="false" outlineLevel="0" collapsed="false">
      <c r="A18" s="33"/>
      <c r="B18" s="33" t="s">
        <v>25</v>
      </c>
      <c r="C18" s="40"/>
      <c r="D18" s="40"/>
      <c r="E18" s="40"/>
      <c r="F18" s="40"/>
      <c r="G18" s="40"/>
      <c r="H18" s="41" t="n">
        <f aca="false">SUMPRODUCT(H$24:H$48,$C$24:$C$48)*(1-$C$3)</f>
        <v>864.28</v>
      </c>
      <c r="I18" s="41" t="n">
        <f aca="false">SUMPRODUCT(I$24:I$48,$C$24:$C$48)*(1-$C$3)</f>
        <v>851.98</v>
      </c>
      <c r="J18" s="41" t="n">
        <f aca="false">SUMPRODUCT(J$24:J$48,$C$24:$C$48)*(1-$C$3)</f>
        <v>898.72</v>
      </c>
      <c r="K18" s="41" t="n">
        <f aca="false">SUMPRODUCT(K$24:K$48,$C$24:$C$48)*(1-$C$3)</f>
        <v>911.02</v>
      </c>
      <c r="L18" s="41" t="n">
        <f aca="false">SUMPRODUCT(L$24:L$48,$C$24:$C$48)*(1-$C$3)</f>
        <v>911.02</v>
      </c>
      <c r="M18" s="41" t="n">
        <f aca="false">SUMPRODUCT(M$24:M$48,$C$24:$C$48)*(1-$C$3)</f>
        <v>932.34</v>
      </c>
      <c r="N18" s="41" t="n">
        <f aca="false">SUMPRODUCT(N$24:N$48,$C$24:$C$48)*(1-$C$3)</f>
        <v>932.34</v>
      </c>
      <c r="O18" s="41" t="n">
        <f aca="false">SUMPRODUCT(O$24:O$48,$C$24:$C$48)*(1-$C$3)</f>
        <v>920.04</v>
      </c>
      <c r="P18" s="41" t="n">
        <f aca="false">SUMPRODUCT(P$24:P$48,$C$24:$C$48)*(1-$C$3)</f>
        <v>920.04</v>
      </c>
      <c r="Q18" s="41" t="n">
        <f aca="false">SUMPRODUCT(Q$24:Q$48,$C$24:$C$48)*(1-$C$3)</f>
        <v>920.04</v>
      </c>
      <c r="R18" s="41" t="n">
        <f aca="false">SUMPRODUCT(R$24:R$48,$C$24:$C$48)*(1-$C$3)</f>
        <v>920.04</v>
      </c>
      <c r="S18" s="41" t="n">
        <f aca="false">SUMPRODUCT(S$24:S$48,$C$24:$C$48)*(1-$C$3)</f>
        <v>920.04</v>
      </c>
      <c r="T18" s="41" t="n">
        <f aca="false">SUMPRODUCT(T$24:T$50,$C$24:$C$50)*(1-$C$3)</f>
        <v>954.48</v>
      </c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</row>
    <row r="19" customFormat="false" ht="12.8" hidden="false" customHeight="false" outlineLevel="0" collapsed="false">
      <c r="A19" s="33"/>
      <c r="B19" s="33" t="s">
        <v>26</v>
      </c>
      <c r="C19" s="38"/>
      <c r="D19" s="38"/>
      <c r="E19" s="38"/>
      <c r="F19" s="38"/>
      <c r="G19" s="38"/>
      <c r="H19" s="42" t="n">
        <f aca="false">H$18/$C$2</f>
        <v>732.440677966102</v>
      </c>
      <c r="I19" s="42" t="n">
        <f aca="false">I$18/$C$2</f>
        <v>722.016949152543</v>
      </c>
      <c r="J19" s="42" t="n">
        <f aca="false">J$18/$C$2</f>
        <v>761.627118644068</v>
      </c>
      <c r="K19" s="42" t="n">
        <f aca="false">K$18/$C$2</f>
        <v>772.050847457627</v>
      </c>
      <c r="L19" s="42" t="n">
        <f aca="false">L$18/$C$2</f>
        <v>772.050847457627</v>
      </c>
      <c r="M19" s="42" t="n">
        <f aca="false">M$18/$C$2</f>
        <v>790.118644067797</v>
      </c>
      <c r="N19" s="42" t="n">
        <f aca="false">N$18/$C$2</f>
        <v>790.118644067797</v>
      </c>
      <c r="O19" s="42" t="n">
        <f aca="false">O$18/$C$2</f>
        <v>779.694915254237</v>
      </c>
      <c r="P19" s="42" t="n">
        <f aca="false">P$18/$C$2</f>
        <v>779.694915254237</v>
      </c>
      <c r="Q19" s="42" t="n">
        <f aca="false">Q$18/$C$2</f>
        <v>779.694915254237</v>
      </c>
      <c r="R19" s="42" t="n">
        <f aca="false">R$18/$C$2</f>
        <v>779.694915254237</v>
      </c>
      <c r="S19" s="42" t="n">
        <f aca="false">S$18/$C$2</f>
        <v>779.694915254237</v>
      </c>
      <c r="T19" s="42" t="n">
        <f aca="false">T$18/$C$2</f>
        <v>808.881355932203</v>
      </c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</row>
    <row r="20" customFormat="false" ht="12.8" hidden="false" customHeight="false" outlineLevel="0" collapsed="false">
      <c r="A20" s="33"/>
      <c r="B20" s="33" t="s">
        <v>27</v>
      </c>
      <c r="C20" s="40"/>
      <c r="D20" s="40"/>
      <c r="E20" s="40"/>
      <c r="F20" s="40"/>
      <c r="G20" s="40"/>
      <c r="H20" s="41" t="n">
        <f aca="false">H$19/H15</f>
        <v>10.771186440678</v>
      </c>
      <c r="I20" s="41" t="n">
        <f aca="false">I$19/I15</f>
        <v>10.7763723754111</v>
      </c>
      <c r="J20" s="41" t="n">
        <f aca="false">J$19/$J15</f>
        <v>10.880387409201</v>
      </c>
      <c r="K20" s="41" t="n">
        <f aca="false">K$19/$J15</f>
        <v>11.0292978208232</v>
      </c>
      <c r="L20" s="41" t="n">
        <f aca="false">L$19/$J15</f>
        <v>11.0292978208232</v>
      </c>
      <c r="M20" s="41" t="n">
        <f aca="false">M$19/$J15</f>
        <v>11.2874092009685</v>
      </c>
      <c r="N20" s="41" t="n">
        <f aca="false">N$19/$J15</f>
        <v>11.2874092009685</v>
      </c>
      <c r="O20" s="41" t="n">
        <f aca="false">O$19/$J15</f>
        <v>11.1384987893462</v>
      </c>
      <c r="P20" s="41" t="n">
        <f aca="false">P$19/$J15</f>
        <v>11.1384987893462</v>
      </c>
      <c r="Q20" s="41" t="n">
        <f aca="false">Q$19/$J15</f>
        <v>11.1384987893462</v>
      </c>
      <c r="R20" s="41" t="n">
        <f aca="false">R$19/$J15</f>
        <v>11.1384987893462</v>
      </c>
      <c r="S20" s="41" t="n">
        <f aca="false">S$19/$J15</f>
        <v>11.1384987893462</v>
      </c>
      <c r="T20" s="41" t="n">
        <f aca="false">T$19/$J15</f>
        <v>11.5554479418886</v>
      </c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</row>
    <row r="21" customFormat="false" ht="12.8" hidden="false" customHeight="false" outlineLevel="0" collapsed="false">
      <c r="A21" s="33"/>
      <c r="B21" s="33" t="s">
        <v>28</v>
      </c>
      <c r="C21" s="38"/>
      <c r="D21" s="38"/>
      <c r="E21" s="38"/>
      <c r="F21" s="38"/>
      <c r="G21" s="38"/>
      <c r="H21" s="42" t="n">
        <f aca="false">H$20/$C$2</f>
        <v>9.12812410226946</v>
      </c>
      <c r="I21" s="42" t="n">
        <f aca="false">I$20/$C$2</f>
        <v>9.13251896221278</v>
      </c>
      <c r="J21" s="42" t="n">
        <f aca="false">J$20/$C$2</f>
        <v>9.22066729593302</v>
      </c>
      <c r="K21" s="42" t="n">
        <f aca="false">K$20/$C$2</f>
        <v>9.3468625600197</v>
      </c>
      <c r="L21" s="42" t="n">
        <f aca="false">L$20/$C$2</f>
        <v>9.3468625600197</v>
      </c>
      <c r="M21" s="42" t="n">
        <f aca="false">M$20/$C$2</f>
        <v>9.56560101776994</v>
      </c>
      <c r="N21" s="42" t="n">
        <f aca="false">N$20/$C$2</f>
        <v>9.56560101776994</v>
      </c>
      <c r="O21" s="42" t="n">
        <f aca="false">O$20/$C$2</f>
        <v>9.43940575368326</v>
      </c>
      <c r="P21" s="42" t="n">
        <f aca="false">P$20/$C$2</f>
        <v>9.43940575368326</v>
      </c>
      <c r="Q21" s="42" t="n">
        <f aca="false">Q$20/$C$2</f>
        <v>9.43940575368326</v>
      </c>
      <c r="R21" s="42" t="n">
        <f aca="false">R$20/$C$2</f>
        <v>9.43940575368326</v>
      </c>
      <c r="S21" s="42" t="n">
        <f aca="false">S$20/$C$2</f>
        <v>9.43940575368326</v>
      </c>
      <c r="T21" s="42" t="n">
        <f aca="false">T$20/$C$2</f>
        <v>9.79275249312595</v>
      </c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</row>
    <row r="22" customFormat="false" ht="12.8" hidden="false" customHeight="false" outlineLevel="0" collapsed="false"/>
    <row r="23" customFormat="false" ht="12.8" hidden="false" customHeight="false" outlineLevel="0" collapsed="false">
      <c r="A23" s="35"/>
      <c r="B23" s="43" t="s">
        <v>29</v>
      </c>
    </row>
    <row r="24" customFormat="false" ht="12.8" hidden="false" customHeight="false" outlineLevel="0" collapsed="false">
      <c r="A24" s="35" t="n">
        <v>1</v>
      </c>
      <c r="B24" s="33" t="s">
        <v>30</v>
      </c>
      <c r="C24" s="44" t="n">
        <v>15</v>
      </c>
      <c r="D24" s="45" t="n">
        <f aca="false">$C24-$C24*$C$3</f>
        <v>12.3</v>
      </c>
      <c r="E24" s="46" t="n">
        <f aca="false">$D24/$C$2</f>
        <v>10.4237288135593</v>
      </c>
      <c r="H24" s="30" t="n">
        <v>14</v>
      </c>
      <c r="I24" s="30" t="n">
        <v>14</v>
      </c>
      <c r="J24" s="30" t="n">
        <v>14</v>
      </c>
      <c r="K24" s="30" t="n">
        <v>14</v>
      </c>
      <c r="L24" s="30" t="n">
        <v>14</v>
      </c>
      <c r="M24" s="30" t="n">
        <v>14</v>
      </c>
      <c r="N24" s="30" t="n">
        <v>14</v>
      </c>
      <c r="O24" s="30" t="n">
        <v>14</v>
      </c>
      <c r="P24" s="30" t="n">
        <v>14</v>
      </c>
      <c r="Q24" s="30" t="n">
        <v>14</v>
      </c>
      <c r="R24" s="30" t="n">
        <v>14</v>
      </c>
      <c r="S24" s="30" t="n">
        <v>14</v>
      </c>
      <c r="T24" s="30" t="n">
        <v>14</v>
      </c>
    </row>
    <row r="25" customFormat="false" ht="12.8" hidden="false" customHeight="false" outlineLevel="0" collapsed="false">
      <c r="A25" s="35"/>
      <c r="B25" s="33"/>
      <c r="C25" s="44"/>
      <c r="D25" s="45"/>
      <c r="E25" s="46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customFormat="false" ht="12.8" hidden="false" customHeight="false" outlineLevel="0" collapsed="false">
      <c r="A26" s="35" t="n">
        <v>2</v>
      </c>
      <c r="B26" s="33" t="s">
        <v>31</v>
      </c>
      <c r="C26" s="44" t="n">
        <v>15</v>
      </c>
      <c r="D26" s="45" t="n">
        <f aca="false">$C26-$C26*$C$3</f>
        <v>12.3</v>
      </c>
      <c r="E26" s="46" t="n">
        <f aca="false">$D26/$C$2</f>
        <v>10.4237288135593</v>
      </c>
      <c r="H26" s="30" t="n">
        <v>5</v>
      </c>
      <c r="I26" s="30" t="n">
        <v>5</v>
      </c>
      <c r="J26" s="30" t="n">
        <v>5</v>
      </c>
      <c r="K26" s="30" t="n">
        <v>5</v>
      </c>
      <c r="L26" s="30" t="n">
        <v>5</v>
      </c>
      <c r="M26" s="30" t="n">
        <v>5</v>
      </c>
      <c r="N26" s="30" t="n">
        <v>5</v>
      </c>
      <c r="O26" s="30" t="n">
        <v>5</v>
      </c>
      <c r="P26" s="30" t="n">
        <v>5</v>
      </c>
      <c r="Q26" s="30" t="n">
        <v>5</v>
      </c>
      <c r="R26" s="30" t="n">
        <v>5</v>
      </c>
      <c r="S26" s="30" t="n">
        <v>5</v>
      </c>
      <c r="T26" s="30" t="n">
        <v>5</v>
      </c>
    </row>
    <row r="27" customFormat="false" ht="12.8" hidden="false" customHeight="false" outlineLevel="0" collapsed="false">
      <c r="A27" s="35"/>
      <c r="B27" s="33"/>
      <c r="C27" s="44"/>
      <c r="D27" s="45"/>
      <c r="E27" s="46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 customFormat="false" ht="12.8" hidden="false" customHeight="false" outlineLevel="0" collapsed="false">
      <c r="A28" s="35" t="n">
        <v>3</v>
      </c>
      <c r="B28" s="33" t="s">
        <v>32</v>
      </c>
      <c r="C28" s="44" t="n">
        <v>15</v>
      </c>
      <c r="D28" s="45" t="n">
        <f aca="false">$C28-$C28*$C$3</f>
        <v>12.3</v>
      </c>
      <c r="E28" s="46" t="n">
        <f aca="false">$D28/$C$2</f>
        <v>10.4237288135593</v>
      </c>
      <c r="H28" s="30" t="n">
        <v>8</v>
      </c>
      <c r="I28" s="47" t="n">
        <v>7</v>
      </c>
      <c r="J28" s="30" t="n">
        <v>7</v>
      </c>
      <c r="K28" s="30" t="n">
        <v>7</v>
      </c>
      <c r="L28" s="30" t="n">
        <v>7</v>
      </c>
      <c r="M28" s="30" t="n">
        <v>7</v>
      </c>
      <c r="N28" s="30" t="n">
        <v>7</v>
      </c>
      <c r="O28" s="47" t="n">
        <v>6</v>
      </c>
      <c r="P28" s="30" t="n">
        <v>6</v>
      </c>
      <c r="Q28" s="30" t="n">
        <v>6</v>
      </c>
      <c r="R28" s="30" t="n">
        <v>6</v>
      </c>
      <c r="S28" s="30" t="n">
        <v>6</v>
      </c>
      <c r="T28" s="30" t="n">
        <v>6</v>
      </c>
    </row>
    <row r="29" customFormat="false" ht="12.8" hidden="false" customHeight="false" outlineLevel="0" collapsed="false">
      <c r="A29" s="35"/>
      <c r="B29" s="33"/>
      <c r="C29" s="44"/>
      <c r="D29" s="45"/>
      <c r="E29" s="46"/>
      <c r="H29" s="30"/>
      <c r="I29" s="47"/>
      <c r="J29" s="30"/>
      <c r="K29" s="30"/>
      <c r="L29" s="30"/>
      <c r="M29" s="30"/>
      <c r="N29" s="30"/>
      <c r="O29" s="48" t="s">
        <v>33</v>
      </c>
      <c r="P29" s="30"/>
      <c r="Q29" s="30"/>
      <c r="R29" s="30"/>
      <c r="S29" s="30"/>
      <c r="T29" s="30"/>
    </row>
    <row r="30" customFormat="false" ht="12.8" hidden="false" customHeight="false" outlineLevel="0" collapsed="false">
      <c r="A30" s="35" t="n">
        <v>4</v>
      </c>
      <c r="B30" s="33" t="s">
        <v>34</v>
      </c>
      <c r="C30" s="44" t="n">
        <v>23</v>
      </c>
      <c r="D30" s="45" t="n">
        <f aca="false">$C30-$C30*$C$3</f>
        <v>18.86</v>
      </c>
      <c r="E30" s="46" t="n">
        <f aca="false">$D30/$C$2</f>
        <v>15.9830508474576</v>
      </c>
      <c r="H30" s="30" t="n">
        <v>1</v>
      </c>
      <c r="I30" s="30" t="n">
        <v>1</v>
      </c>
      <c r="J30" s="30" t="n">
        <v>1</v>
      </c>
      <c r="K30" s="30" t="n">
        <v>1</v>
      </c>
      <c r="L30" s="30" t="n">
        <v>1</v>
      </c>
      <c r="M30" s="30" t="n">
        <v>1</v>
      </c>
      <c r="N30" s="30" t="n">
        <v>1</v>
      </c>
      <c r="O30" s="30" t="n">
        <v>1</v>
      </c>
      <c r="P30" s="30" t="n">
        <v>1</v>
      </c>
      <c r="Q30" s="30" t="n">
        <v>1</v>
      </c>
      <c r="R30" s="30" t="n">
        <v>1</v>
      </c>
      <c r="S30" s="30" t="n">
        <v>1</v>
      </c>
      <c r="T30" s="30" t="n">
        <v>1</v>
      </c>
    </row>
    <row r="31" customFormat="false" ht="12.8" hidden="false" customHeight="false" outlineLevel="0" collapsed="false">
      <c r="A31" s="35"/>
      <c r="B31" s="33"/>
      <c r="C31" s="44"/>
      <c r="D31" s="45"/>
      <c r="E31" s="46"/>
      <c r="H31" s="30"/>
      <c r="I31" s="30"/>
      <c r="J31" s="30"/>
      <c r="K31" s="30"/>
      <c r="L31" s="30"/>
      <c r="M31" s="30"/>
      <c r="N31" s="30"/>
      <c r="O31" s="30"/>
      <c r="P31" s="30" t="s">
        <v>35</v>
      </c>
      <c r="Q31" s="30"/>
      <c r="R31" s="30"/>
      <c r="S31" s="30"/>
      <c r="T31" s="30"/>
    </row>
    <row r="32" customFormat="false" ht="12.8" hidden="false" customHeight="false" outlineLevel="0" collapsed="false">
      <c r="A32" s="35" t="n">
        <v>5</v>
      </c>
      <c r="B32" s="33" t="s">
        <v>36</v>
      </c>
      <c r="C32" s="44" t="n">
        <v>15</v>
      </c>
      <c r="D32" s="45" t="n">
        <f aca="false">$C32-$C32*$C$3</f>
        <v>12.3</v>
      </c>
      <c r="E32" s="46" t="n">
        <f aca="false">$D32/$C$2</f>
        <v>10.4237288135593</v>
      </c>
      <c r="H32" s="30" t="n">
        <v>4</v>
      </c>
      <c r="I32" s="30" t="n">
        <v>4</v>
      </c>
      <c r="J32" s="30" t="n">
        <v>4</v>
      </c>
      <c r="K32" s="30" t="n">
        <v>4</v>
      </c>
      <c r="L32" s="30" t="n">
        <v>4</v>
      </c>
      <c r="M32" s="30" t="n">
        <v>4</v>
      </c>
      <c r="N32" s="30" t="n">
        <v>4</v>
      </c>
      <c r="O32" s="30" t="n">
        <v>4</v>
      </c>
      <c r="P32" s="30" t="n">
        <v>4</v>
      </c>
      <c r="Q32" s="30" t="n">
        <v>4</v>
      </c>
      <c r="R32" s="30" t="n">
        <v>4</v>
      </c>
      <c r="S32" s="30" t="n">
        <v>4</v>
      </c>
      <c r="T32" s="30" t="n">
        <v>4</v>
      </c>
    </row>
    <row r="33" customFormat="false" ht="12.8" hidden="false" customHeight="false" outlineLevel="0" collapsed="false">
      <c r="A33" s="35"/>
      <c r="B33" s="33"/>
      <c r="C33" s="44"/>
      <c r="D33" s="45"/>
      <c r="E33" s="46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 customFormat="false" ht="12.8" hidden="false" customHeight="false" outlineLevel="0" collapsed="false">
      <c r="A34" s="35" t="n">
        <v>6</v>
      </c>
      <c r="B34" s="33" t="s">
        <v>37</v>
      </c>
      <c r="C34" s="44" t="n">
        <v>18</v>
      </c>
      <c r="D34" s="45" t="n">
        <f aca="false">$C34-$C34*$C$3</f>
        <v>14.76</v>
      </c>
      <c r="E34" s="46" t="n">
        <f aca="false">$D34/$C$2</f>
        <v>12.5084745762712</v>
      </c>
      <c r="H34" s="30" t="n">
        <v>10</v>
      </c>
      <c r="I34" s="30" t="n">
        <v>10</v>
      </c>
      <c r="J34" s="30" t="n">
        <v>10</v>
      </c>
      <c r="K34" s="30" t="n">
        <v>10</v>
      </c>
      <c r="L34" s="30" t="n">
        <v>10</v>
      </c>
      <c r="M34" s="30" t="n">
        <v>10</v>
      </c>
      <c r="N34" s="30" t="n">
        <v>10</v>
      </c>
      <c r="O34" s="30" t="n">
        <v>10</v>
      </c>
      <c r="P34" s="30" t="n">
        <v>10</v>
      </c>
      <c r="Q34" s="30" t="n">
        <v>10</v>
      </c>
      <c r="R34" s="30" t="n">
        <v>10</v>
      </c>
      <c r="S34" s="30" t="n">
        <v>10</v>
      </c>
      <c r="T34" s="30" t="n">
        <v>10</v>
      </c>
    </row>
    <row r="35" customFormat="false" ht="12.8" hidden="false" customHeight="false" outlineLevel="0" collapsed="false">
      <c r="A35" s="35"/>
      <c r="B35" s="33"/>
      <c r="C35" s="44"/>
      <c r="D35" s="45"/>
      <c r="E35" s="46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customFormat="false" ht="12.8" hidden="false" customHeight="false" outlineLevel="0" collapsed="false">
      <c r="A36" s="35" t="n">
        <v>7</v>
      </c>
      <c r="B36" s="33" t="s">
        <v>38</v>
      </c>
      <c r="C36" s="44" t="n">
        <v>14</v>
      </c>
      <c r="D36" s="45" t="n">
        <f aca="false">$C36-$C36*$C$3</f>
        <v>11.48</v>
      </c>
      <c r="E36" s="46" t="n">
        <f aca="false">$D36/$C$2</f>
        <v>9.72881355932204</v>
      </c>
      <c r="H36" s="30" t="n">
        <v>5</v>
      </c>
      <c r="I36" s="30" t="n">
        <v>5</v>
      </c>
      <c r="J36" s="30" t="n">
        <v>5</v>
      </c>
      <c r="K36" s="30" t="n">
        <v>5</v>
      </c>
      <c r="L36" s="30" t="n">
        <v>5</v>
      </c>
      <c r="M36" s="49" t="n">
        <v>6</v>
      </c>
      <c r="N36" s="30" t="n">
        <v>6</v>
      </c>
      <c r="O36" s="30" t="n">
        <v>6</v>
      </c>
      <c r="P36" s="30" t="n">
        <v>6</v>
      </c>
      <c r="Q36" s="30" t="n">
        <v>6</v>
      </c>
      <c r="R36" s="30" t="n">
        <v>6</v>
      </c>
      <c r="S36" s="30" t="n">
        <v>6</v>
      </c>
      <c r="T36" s="30" t="n">
        <v>6</v>
      </c>
    </row>
    <row r="37" customFormat="false" ht="12.8" hidden="false" customHeight="false" outlineLevel="0" collapsed="false">
      <c r="A37" s="35"/>
      <c r="B37" s="33"/>
      <c r="C37" s="44"/>
      <c r="D37" s="45"/>
      <c r="E37" s="46"/>
      <c r="H37" s="30"/>
      <c r="I37" s="30"/>
      <c r="J37" s="30"/>
      <c r="K37" s="30"/>
      <c r="L37" s="30"/>
      <c r="M37" s="30" t="s">
        <v>39</v>
      </c>
      <c r="N37" s="30"/>
      <c r="O37" s="30"/>
      <c r="P37" s="30"/>
      <c r="Q37" s="30"/>
      <c r="R37" s="30"/>
      <c r="S37" s="30"/>
      <c r="T37" s="30"/>
    </row>
    <row r="38" customFormat="false" ht="12.8" hidden="false" customHeight="false" outlineLevel="0" collapsed="false">
      <c r="A38" s="35" t="n">
        <v>8</v>
      </c>
      <c r="B38" s="33" t="s">
        <v>40</v>
      </c>
      <c r="C38" s="44" t="n">
        <v>18</v>
      </c>
      <c r="D38" s="45" t="n">
        <f aca="false">$C38-$C38*$C$3</f>
        <v>14.76</v>
      </c>
      <c r="E38" s="46" t="n">
        <f aca="false">$D38/$C$2</f>
        <v>12.5084745762712</v>
      </c>
      <c r="H38" s="30" t="n">
        <v>0</v>
      </c>
      <c r="I38" s="30" t="n">
        <v>0</v>
      </c>
      <c r="J38" s="30" t="n">
        <v>0</v>
      </c>
      <c r="K38" s="30" t="n">
        <v>0</v>
      </c>
      <c r="L38" s="30" t="n">
        <v>0</v>
      </c>
      <c r="M38" s="30" t="n">
        <v>0</v>
      </c>
      <c r="N38" s="30" t="n">
        <v>0</v>
      </c>
      <c r="O38" s="30" t="n">
        <v>0</v>
      </c>
      <c r="P38" s="30" t="n">
        <v>0</v>
      </c>
      <c r="Q38" s="30" t="n">
        <v>0</v>
      </c>
      <c r="R38" s="30" t="n">
        <v>0</v>
      </c>
      <c r="S38" s="30" t="n">
        <v>0</v>
      </c>
      <c r="T38" s="30" t="n">
        <v>0</v>
      </c>
    </row>
    <row r="39" customFormat="false" ht="12.8" hidden="false" customHeight="false" outlineLevel="0" collapsed="false">
      <c r="A39" s="35"/>
      <c r="B39" s="33"/>
      <c r="C39" s="44"/>
      <c r="D39" s="45"/>
      <c r="E39" s="46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</row>
    <row r="40" customFormat="false" ht="12.8" hidden="false" customHeight="false" outlineLevel="0" collapsed="false">
      <c r="A40" s="35" t="n">
        <v>9</v>
      </c>
      <c r="B40" s="33" t="s">
        <v>41</v>
      </c>
      <c r="C40" s="44" t="n">
        <v>12</v>
      </c>
      <c r="D40" s="45" t="n">
        <f aca="false">$C40-$C40*$C$3</f>
        <v>9.84</v>
      </c>
      <c r="E40" s="46" t="n">
        <f aca="false">$D40/$C$2</f>
        <v>8.33898305084746</v>
      </c>
      <c r="H40" s="30" t="n">
        <v>5</v>
      </c>
      <c r="I40" s="30" t="n">
        <v>5</v>
      </c>
      <c r="J40" s="30" t="n">
        <v>5</v>
      </c>
      <c r="K40" s="30" t="n">
        <v>5</v>
      </c>
      <c r="L40" s="30" t="n">
        <v>5</v>
      </c>
      <c r="M40" s="49" t="n">
        <v>6</v>
      </c>
      <c r="N40" s="30" t="n">
        <v>6</v>
      </c>
      <c r="O40" s="30" t="n">
        <v>6</v>
      </c>
      <c r="P40" s="30" t="n">
        <v>6</v>
      </c>
      <c r="Q40" s="30" t="n">
        <v>6</v>
      </c>
      <c r="R40" s="30" t="n">
        <v>6</v>
      </c>
      <c r="S40" s="30" t="n">
        <v>6</v>
      </c>
      <c r="T40" s="30" t="n">
        <v>6</v>
      </c>
    </row>
    <row r="41" customFormat="false" ht="12.8" hidden="false" customHeight="false" outlineLevel="0" collapsed="false">
      <c r="A41" s="35"/>
      <c r="B41" s="33"/>
      <c r="C41" s="44"/>
      <c r="D41" s="45"/>
      <c r="E41" s="46"/>
      <c r="H41" s="30"/>
      <c r="I41" s="30"/>
      <c r="J41" s="30"/>
      <c r="K41" s="30"/>
      <c r="L41" s="30"/>
      <c r="M41" s="30" t="s">
        <v>39</v>
      </c>
      <c r="N41" s="30"/>
      <c r="O41" s="30"/>
      <c r="P41" s="30"/>
      <c r="Q41" s="30"/>
      <c r="R41" s="30"/>
      <c r="S41" s="30"/>
      <c r="T41" s="30"/>
    </row>
    <row r="42" customFormat="false" ht="12.8" hidden="false" customHeight="false" outlineLevel="0" collapsed="false">
      <c r="A42" s="35" t="n">
        <v>10</v>
      </c>
      <c r="B42" s="33" t="s">
        <v>42</v>
      </c>
      <c r="C42" s="44" t="n">
        <v>15</v>
      </c>
      <c r="D42" s="45" t="n">
        <f aca="false">$C42-$C42*$C$3</f>
        <v>12.3</v>
      </c>
      <c r="E42" s="46" t="n">
        <f aca="false">$D42/$C$2</f>
        <v>10.4237288135593</v>
      </c>
      <c r="H42" s="30" t="n">
        <v>4</v>
      </c>
      <c r="I42" s="30" t="n">
        <v>4</v>
      </c>
      <c r="J42" s="30" t="n">
        <v>4</v>
      </c>
      <c r="K42" s="30" t="n">
        <v>4</v>
      </c>
      <c r="L42" s="30" t="n">
        <v>4</v>
      </c>
      <c r="M42" s="30" t="n">
        <v>4</v>
      </c>
      <c r="N42" s="30" t="n">
        <v>4</v>
      </c>
      <c r="O42" s="30" t="n">
        <v>4</v>
      </c>
      <c r="P42" s="30" t="n">
        <v>4</v>
      </c>
      <c r="Q42" s="30" t="n">
        <v>4</v>
      </c>
      <c r="R42" s="30" t="n">
        <v>4</v>
      </c>
      <c r="S42" s="30" t="n">
        <v>4</v>
      </c>
      <c r="T42" s="30" t="n">
        <v>4</v>
      </c>
    </row>
    <row r="43" customFormat="false" ht="12.8" hidden="false" customHeight="false" outlineLevel="0" collapsed="false">
      <c r="A43" s="35"/>
      <c r="B43" s="33"/>
      <c r="C43" s="44"/>
      <c r="D43" s="45"/>
      <c r="E43" s="46"/>
      <c r="H43" s="30"/>
      <c r="I43" s="30"/>
      <c r="J43" s="30"/>
      <c r="K43" s="30"/>
      <c r="L43" s="30"/>
      <c r="M43" s="30"/>
      <c r="N43" s="30"/>
      <c r="O43" s="30"/>
      <c r="P43" s="30"/>
      <c r="Q43" s="30" t="s">
        <v>43</v>
      </c>
      <c r="R43" s="30" t="s">
        <v>43</v>
      </c>
      <c r="S43" s="30" t="s">
        <v>43</v>
      </c>
      <c r="T43" s="30" t="s">
        <v>43</v>
      </c>
    </row>
    <row r="44" customFormat="false" ht="12.8" hidden="false" customHeight="false" outlineLevel="0" collapsed="false">
      <c r="A44" s="35" t="n">
        <v>11</v>
      </c>
      <c r="B44" s="33" t="s">
        <v>44</v>
      </c>
      <c r="C44" s="44" t="n">
        <v>15</v>
      </c>
      <c r="D44" s="45" t="n">
        <f aca="false">$C44-$C44*$C$3</f>
        <v>12.3</v>
      </c>
      <c r="E44" s="46" t="n">
        <f aca="false">$D44/$C$2</f>
        <v>10.4237288135593</v>
      </c>
      <c r="H44" s="30" t="n">
        <v>4</v>
      </c>
      <c r="I44" s="30" t="n">
        <v>4</v>
      </c>
      <c r="J44" s="30" t="n">
        <v>4</v>
      </c>
      <c r="K44" s="49" t="n">
        <v>5</v>
      </c>
      <c r="L44" s="30" t="n">
        <v>5</v>
      </c>
      <c r="M44" s="30" t="n">
        <v>5</v>
      </c>
      <c r="N44" s="30" t="n">
        <v>5</v>
      </c>
      <c r="O44" s="30" t="n">
        <v>5</v>
      </c>
      <c r="P44" s="30" t="n">
        <v>5</v>
      </c>
      <c r="Q44" s="30" t="n">
        <v>5</v>
      </c>
      <c r="R44" s="30" t="n">
        <v>5</v>
      </c>
      <c r="S44" s="30" t="n">
        <v>5</v>
      </c>
      <c r="T44" s="30" t="n">
        <v>5</v>
      </c>
    </row>
    <row r="45" customFormat="false" ht="12.8" hidden="false" customHeight="false" outlineLevel="0" collapsed="false">
      <c r="A45" s="35"/>
      <c r="B45" s="33"/>
      <c r="C45" s="44"/>
      <c r="D45" s="45"/>
      <c r="E45" s="46"/>
      <c r="H45" s="30"/>
      <c r="I45" s="30"/>
      <c r="J45" s="30"/>
      <c r="K45" s="49"/>
      <c r="L45" s="30"/>
      <c r="M45" s="30"/>
      <c r="N45" s="30"/>
      <c r="O45" s="30"/>
      <c r="P45" s="30"/>
      <c r="Q45" s="30"/>
      <c r="R45" s="30"/>
      <c r="S45" s="30"/>
      <c r="T45" s="30"/>
    </row>
    <row r="46" customFormat="false" ht="12.8" hidden="false" customHeight="false" outlineLevel="0" collapsed="false">
      <c r="A46" s="35" t="n">
        <v>12</v>
      </c>
      <c r="B46" s="33" t="s">
        <v>45</v>
      </c>
      <c r="C46" s="44" t="n">
        <v>15</v>
      </c>
      <c r="D46" s="45" t="n">
        <f aca="false">$C46-$C46*$C$3</f>
        <v>12.3</v>
      </c>
      <c r="E46" s="46" t="n">
        <f aca="false">$D46/$C$2</f>
        <v>10.4237288135593</v>
      </c>
      <c r="H46" s="30" t="n">
        <v>4</v>
      </c>
      <c r="I46" s="30" t="n">
        <v>4</v>
      </c>
      <c r="J46" s="30" t="n">
        <v>4</v>
      </c>
      <c r="K46" s="30" t="n">
        <v>4</v>
      </c>
      <c r="L46" s="30" t="n">
        <v>4</v>
      </c>
      <c r="M46" s="30" t="n">
        <v>4</v>
      </c>
      <c r="N46" s="30" t="n">
        <v>4</v>
      </c>
      <c r="O46" s="30" t="n">
        <v>4</v>
      </c>
      <c r="P46" s="30" t="n">
        <v>4</v>
      </c>
      <c r="Q46" s="30" t="n">
        <v>4</v>
      </c>
      <c r="R46" s="30" t="n">
        <v>4</v>
      </c>
      <c r="S46" s="30" t="n">
        <v>4</v>
      </c>
      <c r="T46" s="30" t="n">
        <v>4</v>
      </c>
    </row>
    <row r="47" customFormat="false" ht="12.8" hidden="false" customHeight="false" outlineLevel="0" collapsed="false">
      <c r="A47" s="35"/>
      <c r="B47" s="33"/>
      <c r="C47" s="44"/>
      <c r="D47" s="45"/>
      <c r="E47" s="46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</row>
    <row r="48" customFormat="false" ht="12.8" hidden="false" customHeight="false" outlineLevel="0" collapsed="false">
      <c r="A48" s="35" t="n">
        <v>13</v>
      </c>
      <c r="B48" s="33" t="s">
        <v>46</v>
      </c>
      <c r="C48" s="44" t="n">
        <v>19</v>
      </c>
      <c r="D48" s="45" t="n">
        <f aca="false">$C48-$C48*$C$3</f>
        <v>15.58</v>
      </c>
      <c r="E48" s="46" t="n">
        <f aca="false">$D48/$C$2</f>
        <v>13.2033898305085</v>
      </c>
      <c r="H48" s="30" t="n">
        <v>4</v>
      </c>
      <c r="I48" s="30" t="n">
        <v>4</v>
      </c>
      <c r="J48" s="49" t="n">
        <v>7</v>
      </c>
      <c r="K48" s="30" t="n">
        <v>7</v>
      </c>
      <c r="L48" s="30" t="n">
        <v>7</v>
      </c>
      <c r="M48" s="30" t="n">
        <v>7</v>
      </c>
      <c r="N48" s="30" t="n">
        <v>7</v>
      </c>
      <c r="O48" s="30" t="n">
        <v>7</v>
      </c>
      <c r="P48" s="30" t="n">
        <v>7</v>
      </c>
      <c r="Q48" s="30" t="n">
        <v>7</v>
      </c>
      <c r="R48" s="30" t="n">
        <v>7</v>
      </c>
      <c r="S48" s="30" t="n">
        <v>7</v>
      </c>
      <c r="T48" s="30" t="n">
        <v>7</v>
      </c>
    </row>
    <row r="49" customFormat="false" ht="12.8" hidden="false" customHeight="false" outlineLevel="0" collapsed="false">
      <c r="A49" s="35"/>
      <c r="B49" s="33"/>
      <c r="C49" s="44"/>
      <c r="D49" s="45"/>
      <c r="E49" s="46"/>
      <c r="H49" s="30"/>
      <c r="I49" s="30"/>
      <c r="J49" s="49"/>
      <c r="K49" s="30"/>
      <c r="L49" s="30"/>
      <c r="M49" s="30"/>
      <c r="N49" s="30"/>
      <c r="O49" s="30"/>
      <c r="P49" s="30"/>
      <c r="Q49" s="30"/>
      <c r="R49" s="30"/>
      <c r="S49" s="30"/>
      <c r="T49" s="30"/>
    </row>
    <row r="50" customFormat="false" ht="12.8" hidden="false" customHeight="false" outlineLevel="0" collapsed="false">
      <c r="A50" s="50" t="n">
        <v>14</v>
      </c>
      <c r="B50" s="51" t="s">
        <v>47</v>
      </c>
      <c r="C50" s="52" t="n">
        <v>21</v>
      </c>
      <c r="D50" s="45" t="n">
        <f aca="false">$C50-$C50*$C$3</f>
        <v>17.22</v>
      </c>
      <c r="E50" s="46" t="n">
        <f aca="false">$D50/$C$2</f>
        <v>14.5932203389831</v>
      </c>
      <c r="T50" s="53" t="n">
        <v>2</v>
      </c>
    </row>
    <row r="51" customFormat="false" ht="12.8" hidden="false" customHeight="false" outlineLevel="0" collapsed="false">
      <c r="B51" s="1" t="s">
        <v>48</v>
      </c>
      <c r="D51" s="54"/>
      <c r="E51" s="54"/>
      <c r="J51" s="1" t="s">
        <v>49</v>
      </c>
      <c r="R51" s="55" t="s">
        <v>49</v>
      </c>
      <c r="S51" s="1" t="s">
        <v>49</v>
      </c>
      <c r="U51" s="1" t="s">
        <v>50</v>
      </c>
    </row>
    <row r="52" customFormat="false" ht="12.8" hidden="false" customHeight="true" outlineLevel="0" collapsed="false">
      <c r="F52" s="1"/>
      <c r="AK52" s="1"/>
    </row>
    <row r="53" customFormat="false" ht="12.8" hidden="false" customHeight="true" outlineLevel="0" collapsed="false">
      <c r="A53" s="30"/>
      <c r="B53" s="30" t="s">
        <v>23</v>
      </c>
      <c r="C53" s="30" t="n">
        <v>10</v>
      </c>
      <c r="D53" s="30"/>
      <c r="E53" s="30"/>
      <c r="F53" s="31" t="n">
        <f aca="false">F$20*$C$11+F$18</f>
        <v>0</v>
      </c>
      <c r="G53" s="30"/>
      <c r="H53" s="30"/>
      <c r="I53" s="31"/>
      <c r="J53" s="31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</row>
    <row r="54" customFormat="false" ht="12.8" hidden="false" customHeight="true" outlineLevel="0" collapsed="false">
      <c r="A54" s="30"/>
      <c r="B54" s="30"/>
      <c r="C54" s="30"/>
      <c r="D54" s="30"/>
      <c r="E54" s="30"/>
      <c r="F54" s="31" t="n">
        <f aca="false">F53/$C$2</f>
        <v>0</v>
      </c>
      <c r="G54" s="30"/>
      <c r="H54" s="30"/>
      <c r="I54" s="31"/>
      <c r="J54" s="31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</row>
    <row r="55" customFormat="false" ht="12.8" hidden="false" customHeight="true" outlineLevel="0" collapsed="false">
      <c r="F55" s="1"/>
      <c r="AK55" s="1"/>
    </row>
    <row r="56" customFormat="false" ht="12.8" hidden="false" customHeight="true" outlineLevel="0" collapsed="false">
      <c r="A56" s="33"/>
      <c r="B56" s="33" t="s">
        <v>51</v>
      </c>
      <c r="C56" s="33"/>
      <c r="D56" s="33"/>
      <c r="E56" s="33"/>
      <c r="F56" s="34" t="n">
        <v>0</v>
      </c>
      <c r="G56" s="34" t="n">
        <v>1</v>
      </c>
      <c r="H56" s="34" t="n">
        <v>2</v>
      </c>
      <c r="I56" s="34" t="n">
        <v>3</v>
      </c>
      <c r="J56" s="34" t="n">
        <v>4</v>
      </c>
      <c r="K56" s="34" t="n">
        <v>5</v>
      </c>
      <c r="L56" s="34" t="n">
        <v>6</v>
      </c>
      <c r="M56" s="34" t="n">
        <v>7</v>
      </c>
      <c r="N56" s="34" t="n">
        <v>8</v>
      </c>
      <c r="O56" s="34" t="n">
        <v>9</v>
      </c>
      <c r="P56" s="34" t="n">
        <v>10</v>
      </c>
      <c r="Q56" s="34" t="n">
        <v>11</v>
      </c>
      <c r="R56" s="34" t="n">
        <v>12</v>
      </c>
      <c r="S56" s="34" t="n">
        <v>13</v>
      </c>
      <c r="T56" s="34" t="n">
        <v>14</v>
      </c>
      <c r="U56" s="34" t="n">
        <v>15</v>
      </c>
      <c r="V56" s="34" t="n">
        <v>16</v>
      </c>
      <c r="W56" s="34" t="n">
        <v>17</v>
      </c>
      <c r="X56" s="34" t="n">
        <v>18</v>
      </c>
      <c r="Y56" s="34" t="n">
        <v>19</v>
      </c>
      <c r="Z56" s="34" t="n">
        <v>20</v>
      </c>
      <c r="AA56" s="34" t="n">
        <v>21</v>
      </c>
      <c r="AB56" s="34" t="n">
        <v>22</v>
      </c>
      <c r="AC56" s="34" t="n">
        <v>23</v>
      </c>
      <c r="AD56" s="34" t="n">
        <v>24</v>
      </c>
      <c r="AE56" s="34" t="n">
        <v>25</v>
      </c>
      <c r="AF56" s="34" t="n">
        <v>26</v>
      </c>
      <c r="AG56" s="34" t="n">
        <v>27</v>
      </c>
      <c r="AH56" s="34" t="n">
        <v>28</v>
      </c>
      <c r="AI56" s="34" t="n">
        <v>29</v>
      </c>
      <c r="AJ56" s="34" t="n">
        <v>30</v>
      </c>
      <c r="AK56" s="34" t="n">
        <v>31</v>
      </c>
    </row>
    <row r="57" customFormat="false" ht="12.8" hidden="false" customHeight="true" outlineLevel="0" collapsed="false">
      <c r="A57" s="35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</row>
    <row r="58" customFormat="false" ht="12.8" hidden="false" customHeight="true" outlineLevel="0" collapsed="false">
      <c r="A58" s="33"/>
      <c r="B58" s="33" t="s">
        <v>25</v>
      </c>
      <c r="C58" s="40"/>
      <c r="D58" s="40"/>
      <c r="E58" s="40"/>
      <c r="F58" s="41" t="n">
        <f aca="false">SUMPRODUCT(F$64:F$76,$C$64:$C$76)*(1-$C$3)</f>
        <v>881.5</v>
      </c>
      <c r="G58" s="41" t="n">
        <f aca="false">SUMPRODUCT(G$64:G$76,$C$64:$C$76)*(1-$C$3)</f>
        <v>881.5</v>
      </c>
      <c r="H58" s="41" t="n">
        <f aca="false">SUMPRODUCT(H$64:H$76,$C$64:$C$76)*(1-$C$3)</f>
        <v>881.5</v>
      </c>
      <c r="I58" s="41" t="n">
        <f aca="false">SUMPRODUCT(I$64:I$76,$C$64:$C$76)*(1-$C$3)</f>
        <v>881.5</v>
      </c>
      <c r="J58" s="41" t="n">
        <f aca="false">SUMPRODUCT(J$64:J$76,$C$64:$C$76)*(1-$C$3)</f>
        <v>881.5</v>
      </c>
      <c r="K58" s="41" t="n">
        <f aca="false">SUMPRODUCT(K$64:K$76,$C$64:$C$76)*(1-$C$3)</f>
        <v>881.5</v>
      </c>
      <c r="L58" s="41" t="n">
        <f aca="false">SUMPRODUCT(L$64:L$76,$C$64:$C$76)*(1-$C$3)</f>
        <v>881.5</v>
      </c>
      <c r="M58" s="41" t="n">
        <f aca="false">SUMPRODUCT(M$64:M$76,$C$64:$C$76)*(1-$C$3)</f>
        <v>881.5</v>
      </c>
      <c r="N58" s="41" t="n">
        <f aca="false">SUMPRODUCT(N$64:N$76,$C$64:$C$76)*(1-$C$3)</f>
        <v>881.5</v>
      </c>
      <c r="O58" s="41" t="n">
        <f aca="false">SUMPRODUCT(O$64:O$76,$C$64:$C$76)*(1-$C$3)</f>
        <v>881.5</v>
      </c>
      <c r="P58" s="41" t="n">
        <f aca="false">SUMPRODUCT(P$64:P$76,$C$64:$C$76)*(1-$C$3)</f>
        <v>881.5</v>
      </c>
      <c r="Q58" s="41" t="n">
        <f aca="false">SUMPRODUCT(Q$64:Q$76,$C$64:$C$76)*(1-$C$3)</f>
        <v>881.5</v>
      </c>
      <c r="R58" s="41" t="n">
        <f aca="false">SUMPRODUCT(R$64:R$76,$C$64:$C$76)*(1-$C$3)</f>
        <v>881.5</v>
      </c>
      <c r="S58" s="41" t="n">
        <f aca="false">SUMPRODUCT(S$64:S$76,$C$64:$C$76)*(1-$C$3)</f>
        <v>881.5</v>
      </c>
      <c r="T58" s="41" t="n">
        <f aca="false">SUMPRODUCT(T$64:T$76,$C$64:$C$76)*(1-$C$3)</f>
        <v>881.5</v>
      </c>
      <c r="U58" s="41" t="n">
        <f aca="false">SUMPRODUCT(U$64:U$76,$C$64:$C$76)*(1-$C$3)</f>
        <v>881.5</v>
      </c>
      <c r="V58" s="41" t="n">
        <f aca="false">SUMPRODUCT(V$64:V$76,$C$64:$C$76)*(1-$C$3)</f>
        <v>881.5</v>
      </c>
      <c r="W58" s="41" t="n">
        <f aca="false">SUMPRODUCT(W$64:W$76,$C$64:$C$76)*(1-$C$3)</f>
        <v>881.5</v>
      </c>
      <c r="X58" s="41" t="n">
        <f aca="false">SUMPRODUCT(X$64:X$76,$C$64:$C$76)*(1-$C$3)</f>
        <v>881.5</v>
      </c>
      <c r="Y58" s="41" t="n">
        <f aca="false">SUMPRODUCT(Y$64:Y$76,$C$64:$C$76)*(1-$C$3)</f>
        <v>881.5</v>
      </c>
      <c r="Z58" s="41" t="n">
        <f aca="false">SUMPRODUCT(Z$64:Z$76,$C$64:$C$76)*(1-$C$3)</f>
        <v>881.5</v>
      </c>
      <c r="AA58" s="41" t="n">
        <f aca="false">SUMPRODUCT(AA$64:AA$76,$C$64:$C$76)*(1-$C$3)</f>
        <v>881.5</v>
      </c>
      <c r="AB58" s="41" t="n">
        <f aca="false">SUMPRODUCT(AB$64:AB$76,$C$64:$C$76)*(1-$C$3)</f>
        <v>881.5</v>
      </c>
      <c r="AC58" s="41" t="n">
        <f aca="false">SUMPRODUCT(AC$64:AC$76,$C$64:$C$76)*(1-$C$3)</f>
        <v>881.5</v>
      </c>
      <c r="AD58" s="41" t="n">
        <f aca="false">SUMPRODUCT(AD$64:AD$76,$C$64:$C$76)*(1-$C$3)</f>
        <v>881.5</v>
      </c>
      <c r="AE58" s="41" t="n">
        <f aca="false">SUMPRODUCT(AE$64:AE$76,$C$64:$C$76)*(1-$C$3)</f>
        <v>881.5</v>
      </c>
      <c r="AF58" s="41" t="n">
        <f aca="false">SUMPRODUCT(AF$64:AF$76,$C$64:$C$76)*(1-$C$3)</f>
        <v>881.5</v>
      </c>
      <c r="AG58" s="41" t="n">
        <f aca="false">SUMPRODUCT(AG$64:AG$76,$C$64:$C$76)*(1-$C$3)</f>
        <v>881.5</v>
      </c>
      <c r="AH58" s="41" t="n">
        <f aca="false">SUMPRODUCT(AH$64:AH$76,$C$64:$C$76)*(1-$C$3)</f>
        <v>881.5</v>
      </c>
      <c r="AI58" s="41" t="n">
        <f aca="false">SUMPRODUCT(AI$64:AI$76,$C$64:$C$76)*(1-$C$3)</f>
        <v>881.5</v>
      </c>
      <c r="AJ58" s="41" t="n">
        <f aca="false">SUMPRODUCT(AJ$64:AJ$76,$C$64:$C$76)*(1-$C$3)</f>
        <v>881.5</v>
      </c>
      <c r="AK58" s="41" t="n">
        <f aca="false">SUMPRODUCT(AK$64:AK$76,$C$64:$C$76)*(1-$C$3)</f>
        <v>881.5</v>
      </c>
    </row>
    <row r="59" customFormat="false" ht="12.8" hidden="false" customHeight="true" outlineLevel="0" collapsed="false">
      <c r="A59" s="33"/>
      <c r="B59" s="33" t="s">
        <v>26</v>
      </c>
      <c r="C59" s="38"/>
      <c r="D59" s="38"/>
      <c r="E59" s="38"/>
      <c r="F59" s="42" t="n">
        <f aca="false">F58/$C$2</f>
        <v>747.033898305085</v>
      </c>
      <c r="G59" s="42" t="n">
        <f aca="false">G58/$C$2</f>
        <v>747.033898305085</v>
      </c>
      <c r="H59" s="42" t="n">
        <f aca="false">H58/$C$2</f>
        <v>747.033898305085</v>
      </c>
      <c r="I59" s="42" t="n">
        <f aca="false">I58/$C$2</f>
        <v>747.033898305085</v>
      </c>
      <c r="J59" s="42" t="n">
        <f aca="false">J58/$C$2</f>
        <v>747.033898305085</v>
      </c>
      <c r="K59" s="42" t="n">
        <f aca="false">K58/$C$2</f>
        <v>747.033898305085</v>
      </c>
      <c r="L59" s="42" t="n">
        <f aca="false">L58/$C$2</f>
        <v>747.033898305085</v>
      </c>
      <c r="M59" s="42" t="n">
        <f aca="false">M58/$C$2</f>
        <v>747.033898305085</v>
      </c>
      <c r="N59" s="42" t="n">
        <f aca="false">N58/$C$2</f>
        <v>747.033898305085</v>
      </c>
      <c r="O59" s="42" t="n">
        <f aca="false">O58/$C$2</f>
        <v>747.033898305085</v>
      </c>
      <c r="P59" s="42" t="n">
        <f aca="false">P58/$C$2</f>
        <v>747.033898305085</v>
      </c>
      <c r="Q59" s="42" t="n">
        <f aca="false">Q58/$C$2</f>
        <v>747.033898305085</v>
      </c>
      <c r="R59" s="42" t="n">
        <f aca="false">R58/$C$2</f>
        <v>747.033898305085</v>
      </c>
      <c r="S59" s="42" t="n">
        <f aca="false">S58/$C$2</f>
        <v>747.033898305085</v>
      </c>
      <c r="T59" s="42" t="n">
        <f aca="false">T58/$C$2</f>
        <v>747.033898305085</v>
      </c>
      <c r="U59" s="42" t="n">
        <f aca="false">U58/$C$2</f>
        <v>747.033898305085</v>
      </c>
      <c r="V59" s="42" t="n">
        <f aca="false">V58/$C$2</f>
        <v>747.033898305085</v>
      </c>
      <c r="W59" s="42" t="n">
        <f aca="false">W58/$C$2</f>
        <v>747.033898305085</v>
      </c>
      <c r="X59" s="42" t="n">
        <f aca="false">X58/$C$2</f>
        <v>747.033898305085</v>
      </c>
      <c r="Y59" s="42" t="n">
        <f aca="false">Y58/$C$2</f>
        <v>747.033898305085</v>
      </c>
      <c r="Z59" s="42" t="n">
        <f aca="false">Z58/$C$2</f>
        <v>747.033898305085</v>
      </c>
      <c r="AA59" s="42" t="n">
        <f aca="false">AA58/$C$2</f>
        <v>747.033898305085</v>
      </c>
      <c r="AB59" s="42" t="n">
        <f aca="false">AB58/$C$2</f>
        <v>747.033898305085</v>
      </c>
      <c r="AC59" s="42" t="n">
        <f aca="false">AC58/$C$2</f>
        <v>747.033898305085</v>
      </c>
      <c r="AD59" s="42" t="n">
        <f aca="false">AD58/$C$2</f>
        <v>747.033898305085</v>
      </c>
      <c r="AE59" s="42" t="n">
        <f aca="false">AE58/$C$2</f>
        <v>747.033898305085</v>
      </c>
      <c r="AF59" s="42" t="n">
        <f aca="false">AF58/$C$2</f>
        <v>747.033898305085</v>
      </c>
      <c r="AG59" s="42" t="n">
        <f aca="false">AG58/$C$2</f>
        <v>747.033898305085</v>
      </c>
      <c r="AH59" s="42" t="n">
        <f aca="false">AH58/$C$2</f>
        <v>747.033898305085</v>
      </c>
      <c r="AI59" s="42" t="n">
        <f aca="false">AI58/$C$2</f>
        <v>747.033898305085</v>
      </c>
      <c r="AJ59" s="42" t="n">
        <f aca="false">AJ58/$C$2</f>
        <v>747.033898305085</v>
      </c>
      <c r="AK59" s="42" t="n">
        <f aca="false">AK58/$C$2</f>
        <v>747.033898305085</v>
      </c>
    </row>
    <row r="60" customFormat="false" ht="12.8" hidden="false" customHeight="true" outlineLevel="0" collapsed="false">
      <c r="A60" s="33"/>
      <c r="B60" s="33" t="s">
        <v>27</v>
      </c>
      <c r="C60" s="40"/>
      <c r="D60" s="40"/>
      <c r="E60" s="40"/>
      <c r="F60" s="41" t="n">
        <f aca="false">F$58/(SUM(F$64:F$76))</f>
        <v>12.9632352941176</v>
      </c>
      <c r="G60" s="41" t="n">
        <f aca="false">G$58/(SUM(G$64:G$76))</f>
        <v>12.9632352941176</v>
      </c>
      <c r="H60" s="41" t="n">
        <f aca="false">H$58/(SUM(H$64:H$76))</f>
        <v>12.9632352941176</v>
      </c>
      <c r="I60" s="41" t="n">
        <f aca="false">I$58/(SUM(I$64:I$76))</f>
        <v>12.9632352941176</v>
      </c>
      <c r="J60" s="41" t="n">
        <f aca="false">J$58/(SUM(J$64:J$76))</f>
        <v>12.9632352941176</v>
      </c>
      <c r="K60" s="41" t="n">
        <f aca="false">K$58/(SUM(K$64:K$76))</f>
        <v>12.9632352941176</v>
      </c>
      <c r="L60" s="41" t="n">
        <f aca="false">L$58/(SUM(L$64:L$76))</f>
        <v>12.9632352941176</v>
      </c>
      <c r="M60" s="41" t="n">
        <f aca="false">M$58/(SUM(M$64:M$76))</f>
        <v>12.9632352941176</v>
      </c>
      <c r="N60" s="41" t="n">
        <f aca="false">N$58/(SUM(N$64:N$76))</f>
        <v>12.9632352941176</v>
      </c>
      <c r="O60" s="41" t="n">
        <f aca="false">O$58/(SUM(O$64:O$76))</f>
        <v>12.9632352941176</v>
      </c>
      <c r="P60" s="41" t="n">
        <f aca="false">P$58/(SUM(P$64:P$76))</f>
        <v>12.9632352941176</v>
      </c>
      <c r="Q60" s="41" t="n">
        <f aca="false">Q$58/(SUM(Q$64:Q$76))</f>
        <v>12.9632352941176</v>
      </c>
      <c r="R60" s="41" t="n">
        <f aca="false">R$58/(SUM(R$64:R$76))</f>
        <v>12.9632352941176</v>
      </c>
      <c r="S60" s="41" t="n">
        <f aca="false">S$58/(SUM(S$64:S$76))</f>
        <v>12.9632352941176</v>
      </c>
      <c r="T60" s="41" t="n">
        <f aca="false">T$58/(SUM(T$64:T$76))</f>
        <v>12.9632352941176</v>
      </c>
      <c r="U60" s="41" t="n">
        <f aca="false">U$58/(SUM(U$64:U$76))</f>
        <v>12.9632352941176</v>
      </c>
      <c r="V60" s="41" t="n">
        <f aca="false">V$58/(SUM(V$64:V$76))</f>
        <v>12.9632352941176</v>
      </c>
      <c r="W60" s="41" t="n">
        <f aca="false">W$58/(SUM(W$64:W$76))</f>
        <v>12.9632352941176</v>
      </c>
      <c r="X60" s="41" t="n">
        <f aca="false">X$58/(SUM(X$64:X$76))</f>
        <v>12.9632352941176</v>
      </c>
      <c r="Y60" s="41" t="n">
        <f aca="false">Y$58/(SUM(Y$64:Y$76))</f>
        <v>12.9632352941176</v>
      </c>
      <c r="Z60" s="41" t="n">
        <f aca="false">Z$58/(SUM(Z$64:Z$76))</f>
        <v>12.9632352941176</v>
      </c>
      <c r="AA60" s="41" t="n">
        <f aca="false">AA$58/(SUM(AA$64:AA$76))</f>
        <v>12.9632352941176</v>
      </c>
      <c r="AB60" s="41" t="n">
        <f aca="false">AB$58/(SUM(AB$64:AB$76))</f>
        <v>12.9632352941176</v>
      </c>
      <c r="AC60" s="41" t="n">
        <f aca="false">AC$58/(SUM(AC$64:AC$76))</f>
        <v>12.9632352941176</v>
      </c>
      <c r="AD60" s="41" t="n">
        <f aca="false">AD$58/(SUM(AD$64:AD$76))</f>
        <v>12.9632352941176</v>
      </c>
      <c r="AE60" s="41" t="n">
        <f aca="false">AE$58/(SUM(AE$64:AE$76))</f>
        <v>12.9632352941176</v>
      </c>
      <c r="AF60" s="41" t="n">
        <f aca="false">AF$58/(SUM(AF$64:AF$76))</f>
        <v>12.9632352941176</v>
      </c>
      <c r="AG60" s="41" t="n">
        <f aca="false">AG$58/(SUM(AG$64:AG$76))</f>
        <v>12.9632352941176</v>
      </c>
      <c r="AH60" s="41" t="n">
        <f aca="false">AH$58/(SUM(AH$64:AH$76))</f>
        <v>12.9632352941176</v>
      </c>
      <c r="AI60" s="41" t="n">
        <f aca="false">AI$58/(SUM(AI$64:AI$76))</f>
        <v>12.9632352941176</v>
      </c>
      <c r="AJ60" s="41" t="n">
        <f aca="false">AJ$58/(SUM(AJ$64:AJ$76))</f>
        <v>12.9632352941176</v>
      </c>
      <c r="AK60" s="41" t="n">
        <f aca="false">AK$58/(SUM(AK$64:AK$76))</f>
        <v>12.9632352941176</v>
      </c>
    </row>
    <row r="61" customFormat="false" ht="12.8" hidden="false" customHeight="true" outlineLevel="0" collapsed="false">
      <c r="A61" s="33"/>
      <c r="B61" s="33" t="s">
        <v>28</v>
      </c>
      <c r="C61" s="38"/>
      <c r="D61" s="38"/>
      <c r="E61" s="38"/>
      <c r="F61" s="42" t="n">
        <f aca="false">F$60/$C$2</f>
        <v>10.9857926221336</v>
      </c>
      <c r="G61" s="42" t="n">
        <f aca="false">G$60/$C$2</f>
        <v>10.9857926221336</v>
      </c>
      <c r="H61" s="42" t="n">
        <f aca="false">H$60/$C$2</f>
        <v>10.9857926221336</v>
      </c>
      <c r="I61" s="42" t="n">
        <f aca="false">I$60/$C$2</f>
        <v>10.9857926221336</v>
      </c>
      <c r="J61" s="42" t="n">
        <f aca="false">J$60/$C$2</f>
        <v>10.9857926221336</v>
      </c>
      <c r="K61" s="42" t="n">
        <f aca="false">K$60/$C$2</f>
        <v>10.9857926221336</v>
      </c>
      <c r="L61" s="42" t="n">
        <f aca="false">L$60/$C$2</f>
        <v>10.9857926221336</v>
      </c>
      <c r="M61" s="42" t="n">
        <f aca="false">M$60/$C$2</f>
        <v>10.9857926221336</v>
      </c>
      <c r="N61" s="42" t="n">
        <f aca="false">N$60/$C$2</f>
        <v>10.9857926221336</v>
      </c>
      <c r="O61" s="42" t="n">
        <f aca="false">O$60/$C$2</f>
        <v>10.9857926221336</v>
      </c>
      <c r="P61" s="42" t="n">
        <f aca="false">P$60/$C$2</f>
        <v>10.9857926221336</v>
      </c>
      <c r="Q61" s="42" t="n">
        <f aca="false">Q$60/$C$2</f>
        <v>10.9857926221336</v>
      </c>
      <c r="R61" s="42" t="n">
        <f aca="false">R$60/$C$2</f>
        <v>10.9857926221336</v>
      </c>
      <c r="S61" s="42" t="n">
        <f aca="false">S$60/$C$2</f>
        <v>10.9857926221336</v>
      </c>
      <c r="T61" s="42" t="n">
        <f aca="false">T$60/$C$2</f>
        <v>10.9857926221336</v>
      </c>
      <c r="U61" s="42" t="n">
        <f aca="false">U$60/$C$2</f>
        <v>10.9857926221336</v>
      </c>
      <c r="V61" s="42" t="n">
        <f aca="false">V$60/$C$2</f>
        <v>10.9857926221336</v>
      </c>
      <c r="W61" s="42" t="n">
        <f aca="false">W$60/$C$2</f>
        <v>10.9857926221336</v>
      </c>
      <c r="X61" s="42" t="n">
        <f aca="false">X$60/$C$2</f>
        <v>10.9857926221336</v>
      </c>
      <c r="Y61" s="42" t="n">
        <f aca="false">Y$60/$C$2</f>
        <v>10.9857926221336</v>
      </c>
      <c r="Z61" s="42" t="n">
        <f aca="false">Z$60/$C$2</f>
        <v>10.9857926221336</v>
      </c>
      <c r="AA61" s="42" t="n">
        <f aca="false">AA$60/$C$2</f>
        <v>10.9857926221336</v>
      </c>
      <c r="AB61" s="42" t="n">
        <f aca="false">AB$60/$C$2</f>
        <v>10.9857926221336</v>
      </c>
      <c r="AC61" s="42" t="n">
        <f aca="false">AC$60/$C$2</f>
        <v>10.9857926221336</v>
      </c>
      <c r="AD61" s="42" t="n">
        <f aca="false">AD$60/$C$2</f>
        <v>10.9857926221336</v>
      </c>
      <c r="AE61" s="42" t="n">
        <f aca="false">AE$60/$C$2</f>
        <v>10.9857926221336</v>
      </c>
      <c r="AF61" s="42" t="n">
        <f aca="false">AF$60/$C$2</f>
        <v>10.9857926221336</v>
      </c>
      <c r="AG61" s="42" t="n">
        <f aca="false">AG$60/$C$2</f>
        <v>10.9857926221336</v>
      </c>
      <c r="AH61" s="42" t="n">
        <f aca="false">AH$60/$C$2</f>
        <v>10.9857926221336</v>
      </c>
      <c r="AI61" s="42" t="n">
        <f aca="false">AI$60/$C$2</f>
        <v>10.9857926221336</v>
      </c>
      <c r="AJ61" s="42" t="n">
        <f aca="false">AJ$60/$C$2</f>
        <v>10.9857926221336</v>
      </c>
      <c r="AK61" s="42" t="n">
        <f aca="false">AK$60/$C$2</f>
        <v>10.9857926221336</v>
      </c>
    </row>
    <row r="62" customFormat="false" ht="12.8" hidden="false" customHeight="true" outlineLevel="0" collapsed="false">
      <c r="A62" s="33"/>
      <c r="B62" s="33"/>
      <c r="C62" s="38"/>
      <c r="D62" s="38"/>
      <c r="E62" s="38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</row>
    <row r="63" customFormat="false" ht="12.8" hidden="false" customHeight="true" outlineLevel="0" collapsed="false">
      <c r="A63" s="35"/>
      <c r="B63" s="43" t="s">
        <v>29</v>
      </c>
      <c r="F63" s="1"/>
      <c r="AK63" s="1"/>
    </row>
    <row r="64" customFormat="false" ht="12.8" hidden="false" customHeight="true" outlineLevel="0" collapsed="false">
      <c r="A64" s="35" t="n">
        <v>1</v>
      </c>
      <c r="B64" s="33" t="s">
        <v>30</v>
      </c>
      <c r="C64" s="44" t="n">
        <v>15</v>
      </c>
      <c r="D64" s="45" t="n">
        <f aca="false">$C64-$C64*$C$3</f>
        <v>12.3</v>
      </c>
      <c r="E64" s="46" t="n">
        <f aca="false">$D64/$C$2</f>
        <v>10.4237288135593</v>
      </c>
      <c r="F64" s="30" t="n">
        <v>13</v>
      </c>
      <c r="G64" s="30" t="n">
        <v>13</v>
      </c>
      <c r="H64" s="30" t="n">
        <v>13</v>
      </c>
      <c r="I64" s="30" t="n">
        <v>13</v>
      </c>
      <c r="J64" s="30" t="n">
        <v>13</v>
      </c>
      <c r="K64" s="30" t="n">
        <v>13</v>
      </c>
      <c r="L64" s="30" t="n">
        <v>13</v>
      </c>
      <c r="M64" s="30" t="n">
        <v>13</v>
      </c>
      <c r="N64" s="30" t="n">
        <v>13</v>
      </c>
      <c r="O64" s="30" t="n">
        <v>13</v>
      </c>
      <c r="P64" s="30" t="n">
        <v>13</v>
      </c>
      <c r="Q64" s="30" t="n">
        <v>13</v>
      </c>
      <c r="R64" s="30" t="n">
        <v>13</v>
      </c>
      <c r="S64" s="30" t="n">
        <v>13</v>
      </c>
      <c r="T64" s="30" t="n">
        <v>13</v>
      </c>
      <c r="U64" s="30" t="n">
        <v>13</v>
      </c>
      <c r="V64" s="30" t="n">
        <v>13</v>
      </c>
      <c r="W64" s="30" t="n">
        <v>13</v>
      </c>
      <c r="X64" s="30" t="n">
        <v>13</v>
      </c>
      <c r="Y64" s="30" t="n">
        <v>13</v>
      </c>
      <c r="Z64" s="30" t="n">
        <v>13</v>
      </c>
      <c r="AA64" s="30" t="n">
        <v>13</v>
      </c>
      <c r="AB64" s="30" t="n">
        <v>13</v>
      </c>
      <c r="AC64" s="30" t="n">
        <v>13</v>
      </c>
      <c r="AD64" s="30" t="n">
        <v>13</v>
      </c>
      <c r="AE64" s="30" t="n">
        <v>13</v>
      </c>
      <c r="AF64" s="30" t="n">
        <v>13</v>
      </c>
      <c r="AG64" s="30" t="n">
        <v>13</v>
      </c>
      <c r="AH64" s="30" t="n">
        <v>13</v>
      </c>
      <c r="AI64" s="30" t="n">
        <v>13</v>
      </c>
      <c r="AJ64" s="30" t="n">
        <v>13</v>
      </c>
      <c r="AK64" s="30" t="n">
        <v>13</v>
      </c>
    </row>
    <row r="65" customFormat="false" ht="12.8" hidden="false" customHeight="true" outlineLevel="0" collapsed="false">
      <c r="A65" s="35" t="n">
        <v>2</v>
      </c>
      <c r="B65" s="33" t="s">
        <v>31</v>
      </c>
      <c r="C65" s="44" t="n">
        <v>15</v>
      </c>
      <c r="D65" s="45" t="n">
        <f aca="false">$C65-$C65*$C$3</f>
        <v>12.3</v>
      </c>
      <c r="E65" s="46" t="n">
        <f aca="false">$D65/$C$2</f>
        <v>10.4237288135593</v>
      </c>
      <c r="F65" s="30" t="n">
        <v>5</v>
      </c>
      <c r="G65" s="30" t="n">
        <v>5</v>
      </c>
      <c r="H65" s="30" t="n">
        <v>5</v>
      </c>
      <c r="I65" s="30" t="n">
        <v>5</v>
      </c>
      <c r="J65" s="30" t="n">
        <v>5</v>
      </c>
      <c r="K65" s="30" t="n">
        <v>5</v>
      </c>
      <c r="L65" s="30" t="n">
        <v>5</v>
      </c>
      <c r="M65" s="30" t="n">
        <v>5</v>
      </c>
      <c r="N65" s="30" t="n">
        <v>5</v>
      </c>
      <c r="O65" s="30" t="n">
        <v>5</v>
      </c>
      <c r="P65" s="30" t="n">
        <v>5</v>
      </c>
      <c r="Q65" s="30" t="n">
        <v>5</v>
      </c>
      <c r="R65" s="30" t="n">
        <v>5</v>
      </c>
      <c r="S65" s="30" t="n">
        <v>5</v>
      </c>
      <c r="T65" s="30" t="n">
        <v>5</v>
      </c>
      <c r="U65" s="30" t="n">
        <v>5</v>
      </c>
      <c r="V65" s="30" t="n">
        <v>5</v>
      </c>
      <c r="W65" s="30" t="n">
        <v>5</v>
      </c>
      <c r="X65" s="30" t="n">
        <v>5</v>
      </c>
      <c r="Y65" s="30" t="n">
        <v>5</v>
      </c>
      <c r="Z65" s="30" t="n">
        <v>5</v>
      </c>
      <c r="AA65" s="30" t="n">
        <v>5</v>
      </c>
      <c r="AB65" s="30" t="n">
        <v>5</v>
      </c>
      <c r="AC65" s="30" t="n">
        <v>5</v>
      </c>
      <c r="AD65" s="30" t="n">
        <v>5</v>
      </c>
      <c r="AE65" s="30" t="n">
        <v>5</v>
      </c>
      <c r="AF65" s="30" t="n">
        <v>5</v>
      </c>
      <c r="AG65" s="30" t="n">
        <v>5</v>
      </c>
      <c r="AH65" s="30" t="n">
        <v>5</v>
      </c>
      <c r="AI65" s="30" t="n">
        <v>5</v>
      </c>
      <c r="AJ65" s="30" t="n">
        <v>5</v>
      </c>
      <c r="AK65" s="30" t="n">
        <v>5</v>
      </c>
    </row>
    <row r="66" customFormat="false" ht="12.8" hidden="false" customHeight="true" outlineLevel="0" collapsed="false">
      <c r="A66" s="35" t="n">
        <v>3</v>
      </c>
      <c r="B66" s="33" t="s">
        <v>32</v>
      </c>
      <c r="C66" s="44" t="n">
        <v>15</v>
      </c>
      <c r="D66" s="45" t="n">
        <f aca="false">$C66-$C66*$C$3</f>
        <v>12.3</v>
      </c>
      <c r="E66" s="46" t="n">
        <f aca="false">$D66/$C$2</f>
        <v>10.4237288135593</v>
      </c>
      <c r="F66" s="30" t="n">
        <v>10</v>
      </c>
      <c r="G66" s="30" t="n">
        <v>10</v>
      </c>
      <c r="H66" s="30" t="n">
        <v>10</v>
      </c>
      <c r="I66" s="30" t="n">
        <v>10</v>
      </c>
      <c r="J66" s="30" t="n">
        <v>10</v>
      </c>
      <c r="K66" s="30" t="n">
        <v>10</v>
      </c>
      <c r="L66" s="30" t="n">
        <v>10</v>
      </c>
      <c r="M66" s="30" t="n">
        <v>10</v>
      </c>
      <c r="N66" s="30" t="n">
        <v>10</v>
      </c>
      <c r="O66" s="30" t="n">
        <v>10</v>
      </c>
      <c r="P66" s="30" t="n">
        <v>10</v>
      </c>
      <c r="Q66" s="30" t="n">
        <v>10</v>
      </c>
      <c r="R66" s="30" t="n">
        <v>10</v>
      </c>
      <c r="S66" s="30" t="n">
        <v>10</v>
      </c>
      <c r="T66" s="30" t="n">
        <v>10</v>
      </c>
      <c r="U66" s="30" t="n">
        <v>10</v>
      </c>
      <c r="V66" s="30" t="n">
        <v>10</v>
      </c>
      <c r="W66" s="30" t="n">
        <v>10</v>
      </c>
      <c r="X66" s="30" t="n">
        <v>10</v>
      </c>
      <c r="Y66" s="30" t="n">
        <v>10</v>
      </c>
      <c r="Z66" s="30" t="n">
        <v>10</v>
      </c>
      <c r="AA66" s="30" t="n">
        <v>10</v>
      </c>
      <c r="AB66" s="30" t="n">
        <v>10</v>
      </c>
      <c r="AC66" s="30" t="n">
        <v>10</v>
      </c>
      <c r="AD66" s="30" t="n">
        <v>10</v>
      </c>
      <c r="AE66" s="30" t="n">
        <v>10</v>
      </c>
      <c r="AF66" s="30" t="n">
        <v>10</v>
      </c>
      <c r="AG66" s="30" t="n">
        <v>10</v>
      </c>
      <c r="AH66" s="30" t="n">
        <v>10</v>
      </c>
      <c r="AI66" s="30" t="n">
        <v>10</v>
      </c>
      <c r="AJ66" s="30" t="n">
        <v>10</v>
      </c>
      <c r="AK66" s="30" t="n">
        <v>10</v>
      </c>
    </row>
    <row r="67" customFormat="false" ht="12.8" hidden="false" customHeight="true" outlineLevel="0" collapsed="false">
      <c r="A67" s="35" t="n">
        <v>4</v>
      </c>
      <c r="B67" s="33" t="s">
        <v>34</v>
      </c>
      <c r="C67" s="44" t="n">
        <v>23</v>
      </c>
      <c r="D67" s="45" t="n">
        <f aca="false">$C67-$C67*$C$3</f>
        <v>18.86</v>
      </c>
      <c r="E67" s="46" t="n">
        <f aca="false">$D67/$C$2</f>
        <v>15.9830508474576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</row>
    <row r="68" customFormat="false" ht="12.8" hidden="false" customHeight="true" outlineLevel="0" collapsed="false">
      <c r="A68" s="35" t="n">
        <v>5</v>
      </c>
      <c r="B68" s="33" t="s">
        <v>36</v>
      </c>
      <c r="C68" s="44" t="n">
        <v>15</v>
      </c>
      <c r="D68" s="45" t="n">
        <f aca="false">$C68-$C68*$C$3</f>
        <v>12.3</v>
      </c>
      <c r="E68" s="46" t="n">
        <f aca="false">$D68/$C$2</f>
        <v>10.4237288135593</v>
      </c>
      <c r="F68" s="30" t="n">
        <v>4</v>
      </c>
      <c r="G68" s="30" t="n">
        <v>4</v>
      </c>
      <c r="H68" s="30" t="n">
        <v>4</v>
      </c>
      <c r="I68" s="30" t="n">
        <v>4</v>
      </c>
      <c r="J68" s="30" t="n">
        <v>4</v>
      </c>
      <c r="K68" s="30" t="n">
        <v>4</v>
      </c>
      <c r="L68" s="30" t="n">
        <v>4</v>
      </c>
      <c r="M68" s="30" t="n">
        <v>4</v>
      </c>
      <c r="N68" s="30" t="n">
        <v>4</v>
      </c>
      <c r="O68" s="30" t="n">
        <v>4</v>
      </c>
      <c r="P68" s="30" t="n">
        <v>4</v>
      </c>
      <c r="Q68" s="30" t="n">
        <v>4</v>
      </c>
      <c r="R68" s="30" t="n">
        <v>4</v>
      </c>
      <c r="S68" s="30" t="n">
        <v>4</v>
      </c>
      <c r="T68" s="30" t="n">
        <v>4</v>
      </c>
      <c r="U68" s="30" t="n">
        <v>4</v>
      </c>
      <c r="V68" s="30" t="n">
        <v>4</v>
      </c>
      <c r="W68" s="30" t="n">
        <v>4</v>
      </c>
      <c r="X68" s="30" t="n">
        <v>4</v>
      </c>
      <c r="Y68" s="30" t="n">
        <v>4</v>
      </c>
      <c r="Z68" s="30" t="n">
        <v>4</v>
      </c>
      <c r="AA68" s="30" t="n">
        <v>4</v>
      </c>
      <c r="AB68" s="30" t="n">
        <v>4</v>
      </c>
      <c r="AC68" s="30" t="n">
        <v>4</v>
      </c>
      <c r="AD68" s="30" t="n">
        <v>4</v>
      </c>
      <c r="AE68" s="30" t="n">
        <v>4</v>
      </c>
      <c r="AF68" s="30" t="n">
        <v>4</v>
      </c>
      <c r="AG68" s="30" t="n">
        <v>4</v>
      </c>
      <c r="AH68" s="30" t="n">
        <v>4</v>
      </c>
      <c r="AI68" s="30" t="n">
        <v>4</v>
      </c>
      <c r="AJ68" s="30" t="n">
        <v>4</v>
      </c>
      <c r="AK68" s="30" t="n">
        <v>4</v>
      </c>
    </row>
    <row r="69" customFormat="false" ht="12.8" hidden="false" customHeight="true" outlineLevel="0" collapsed="false">
      <c r="A69" s="35" t="n">
        <v>6</v>
      </c>
      <c r="B69" s="33" t="s">
        <v>37</v>
      </c>
      <c r="C69" s="44" t="n">
        <v>18</v>
      </c>
      <c r="D69" s="45" t="n">
        <f aca="false">$C69-$C69*$C$3</f>
        <v>14.76</v>
      </c>
      <c r="E69" s="46" t="n">
        <f aca="false">$D69/$C$2</f>
        <v>12.5084745762712</v>
      </c>
      <c r="F69" s="30" t="n">
        <v>9</v>
      </c>
      <c r="G69" s="30" t="n">
        <v>9</v>
      </c>
      <c r="H69" s="30" t="n">
        <v>9</v>
      </c>
      <c r="I69" s="30" t="n">
        <v>9</v>
      </c>
      <c r="J69" s="30" t="n">
        <v>9</v>
      </c>
      <c r="K69" s="30" t="n">
        <v>9</v>
      </c>
      <c r="L69" s="30" t="n">
        <v>9</v>
      </c>
      <c r="M69" s="30" t="n">
        <v>9</v>
      </c>
      <c r="N69" s="30" t="n">
        <v>9</v>
      </c>
      <c r="O69" s="30" t="n">
        <v>9</v>
      </c>
      <c r="P69" s="30" t="n">
        <v>9</v>
      </c>
      <c r="Q69" s="30" t="n">
        <v>9</v>
      </c>
      <c r="R69" s="30" t="n">
        <v>9</v>
      </c>
      <c r="S69" s="30" t="n">
        <v>9</v>
      </c>
      <c r="T69" s="30" t="n">
        <v>9</v>
      </c>
      <c r="U69" s="30" t="n">
        <v>9</v>
      </c>
      <c r="V69" s="30" t="n">
        <v>9</v>
      </c>
      <c r="W69" s="30" t="n">
        <v>9</v>
      </c>
      <c r="X69" s="30" t="n">
        <v>9</v>
      </c>
      <c r="Y69" s="30" t="n">
        <v>9</v>
      </c>
      <c r="Z69" s="30" t="n">
        <v>9</v>
      </c>
      <c r="AA69" s="30" t="n">
        <v>9</v>
      </c>
      <c r="AB69" s="30" t="n">
        <v>9</v>
      </c>
      <c r="AC69" s="30" t="n">
        <v>9</v>
      </c>
      <c r="AD69" s="30" t="n">
        <v>9</v>
      </c>
      <c r="AE69" s="30" t="n">
        <v>9</v>
      </c>
      <c r="AF69" s="30" t="n">
        <v>9</v>
      </c>
      <c r="AG69" s="30" t="n">
        <v>9</v>
      </c>
      <c r="AH69" s="30" t="n">
        <v>9</v>
      </c>
      <c r="AI69" s="30" t="n">
        <v>9</v>
      </c>
      <c r="AJ69" s="30" t="n">
        <v>9</v>
      </c>
      <c r="AK69" s="30" t="n">
        <v>9</v>
      </c>
    </row>
    <row r="70" customFormat="false" ht="12.8" hidden="false" customHeight="true" outlineLevel="0" collapsed="false">
      <c r="A70" s="35" t="n">
        <v>7</v>
      </c>
      <c r="B70" s="33" t="s">
        <v>38</v>
      </c>
      <c r="C70" s="44" t="n">
        <v>14</v>
      </c>
      <c r="D70" s="45" t="n">
        <f aca="false">$C70-$C70*$C$3</f>
        <v>11.48</v>
      </c>
      <c r="E70" s="46" t="n">
        <f aca="false">$D70/$C$2</f>
        <v>9.72881355932204</v>
      </c>
      <c r="F70" s="30" t="n">
        <v>4</v>
      </c>
      <c r="G70" s="30" t="n">
        <v>4</v>
      </c>
      <c r="H70" s="30" t="n">
        <v>4</v>
      </c>
      <c r="I70" s="30" t="n">
        <v>4</v>
      </c>
      <c r="J70" s="30" t="n">
        <v>4</v>
      </c>
      <c r="K70" s="30" t="n">
        <v>4</v>
      </c>
      <c r="L70" s="30" t="n">
        <v>4</v>
      </c>
      <c r="M70" s="30" t="n">
        <v>4</v>
      </c>
      <c r="N70" s="30" t="n">
        <v>4</v>
      </c>
      <c r="O70" s="30" t="n">
        <v>4</v>
      </c>
      <c r="P70" s="30" t="n">
        <v>4</v>
      </c>
      <c r="Q70" s="30" t="n">
        <v>4</v>
      </c>
      <c r="R70" s="30" t="n">
        <v>4</v>
      </c>
      <c r="S70" s="30" t="n">
        <v>4</v>
      </c>
      <c r="T70" s="30" t="n">
        <v>4</v>
      </c>
      <c r="U70" s="30" t="n">
        <v>4</v>
      </c>
      <c r="V70" s="30" t="n">
        <v>4</v>
      </c>
      <c r="W70" s="30" t="n">
        <v>4</v>
      </c>
      <c r="X70" s="30" t="n">
        <v>4</v>
      </c>
      <c r="Y70" s="30" t="n">
        <v>4</v>
      </c>
      <c r="Z70" s="30" t="n">
        <v>4</v>
      </c>
      <c r="AA70" s="30" t="n">
        <v>4</v>
      </c>
      <c r="AB70" s="30" t="n">
        <v>4</v>
      </c>
      <c r="AC70" s="30" t="n">
        <v>4</v>
      </c>
      <c r="AD70" s="30" t="n">
        <v>4</v>
      </c>
      <c r="AE70" s="30" t="n">
        <v>4</v>
      </c>
      <c r="AF70" s="30" t="n">
        <v>4</v>
      </c>
      <c r="AG70" s="30" t="n">
        <v>4</v>
      </c>
      <c r="AH70" s="30" t="n">
        <v>4</v>
      </c>
      <c r="AI70" s="30" t="n">
        <v>4</v>
      </c>
      <c r="AJ70" s="30" t="n">
        <v>4</v>
      </c>
      <c r="AK70" s="30" t="n">
        <v>4</v>
      </c>
    </row>
    <row r="71" customFormat="false" ht="12.8" hidden="false" customHeight="true" outlineLevel="0" collapsed="false">
      <c r="A71" s="35" t="n">
        <v>8</v>
      </c>
      <c r="B71" s="33" t="s">
        <v>40</v>
      </c>
      <c r="C71" s="44" t="n">
        <v>18</v>
      </c>
      <c r="D71" s="45" t="n">
        <f aca="false">$C71-$C71*$C$3</f>
        <v>14.76</v>
      </c>
      <c r="E71" s="46" t="n">
        <f aca="false">$D71/$C$2</f>
        <v>12.5084745762712</v>
      </c>
      <c r="F71" s="30" t="n">
        <v>0</v>
      </c>
      <c r="G71" s="30" t="n">
        <v>0</v>
      </c>
      <c r="H71" s="30" t="n">
        <v>0</v>
      </c>
      <c r="I71" s="30" t="n">
        <v>0</v>
      </c>
      <c r="J71" s="30" t="n">
        <v>0</v>
      </c>
      <c r="K71" s="30" t="n">
        <v>0</v>
      </c>
      <c r="L71" s="30" t="n">
        <v>0</v>
      </c>
      <c r="M71" s="30" t="n">
        <v>0</v>
      </c>
      <c r="N71" s="30" t="n">
        <v>0</v>
      </c>
      <c r="O71" s="30" t="n">
        <v>0</v>
      </c>
      <c r="P71" s="30" t="n">
        <v>0</v>
      </c>
      <c r="Q71" s="30" t="n">
        <v>0</v>
      </c>
      <c r="R71" s="30" t="n">
        <v>0</v>
      </c>
      <c r="S71" s="30" t="n">
        <v>0</v>
      </c>
      <c r="T71" s="30" t="n">
        <v>0</v>
      </c>
      <c r="U71" s="30" t="n">
        <v>0</v>
      </c>
      <c r="V71" s="30" t="n">
        <v>0</v>
      </c>
      <c r="W71" s="30" t="n">
        <v>0</v>
      </c>
      <c r="X71" s="30" t="n">
        <v>0</v>
      </c>
      <c r="Y71" s="30" t="n">
        <v>0</v>
      </c>
      <c r="Z71" s="30" t="n">
        <v>0</v>
      </c>
      <c r="AA71" s="30" t="n">
        <v>0</v>
      </c>
      <c r="AB71" s="30" t="n">
        <v>0</v>
      </c>
      <c r="AC71" s="30" t="n">
        <v>0</v>
      </c>
      <c r="AD71" s="30" t="n">
        <v>0</v>
      </c>
      <c r="AE71" s="30" t="n">
        <v>0</v>
      </c>
      <c r="AF71" s="30" t="n">
        <v>0</v>
      </c>
      <c r="AG71" s="30" t="n">
        <v>0</v>
      </c>
      <c r="AH71" s="30" t="n">
        <v>0</v>
      </c>
      <c r="AI71" s="30" t="n">
        <v>0</v>
      </c>
      <c r="AJ71" s="30" t="n">
        <v>0</v>
      </c>
      <c r="AK71" s="30" t="n">
        <v>0</v>
      </c>
    </row>
    <row r="72" customFormat="false" ht="12.8" hidden="false" customHeight="true" outlineLevel="0" collapsed="false">
      <c r="A72" s="35" t="n">
        <v>9</v>
      </c>
      <c r="B72" s="33" t="s">
        <v>41</v>
      </c>
      <c r="C72" s="44" t="n">
        <v>18</v>
      </c>
      <c r="D72" s="45" t="n">
        <f aca="false">$C72-$C72*$C$3</f>
        <v>14.76</v>
      </c>
      <c r="E72" s="46" t="n">
        <f aca="false">$D72/$C$2</f>
        <v>12.5084745762712</v>
      </c>
      <c r="F72" s="30" t="n">
        <v>4</v>
      </c>
      <c r="G72" s="30" t="n">
        <v>4</v>
      </c>
      <c r="H72" s="30" t="n">
        <v>4</v>
      </c>
      <c r="I72" s="30" t="n">
        <v>4</v>
      </c>
      <c r="J72" s="30" t="n">
        <v>4</v>
      </c>
      <c r="K72" s="30" t="n">
        <v>4</v>
      </c>
      <c r="L72" s="30" t="n">
        <v>4</v>
      </c>
      <c r="M72" s="30" t="n">
        <v>4</v>
      </c>
      <c r="N72" s="30" t="n">
        <v>4</v>
      </c>
      <c r="O72" s="30" t="n">
        <v>4</v>
      </c>
      <c r="P72" s="30" t="n">
        <v>4</v>
      </c>
      <c r="Q72" s="30" t="n">
        <v>4</v>
      </c>
      <c r="R72" s="30" t="n">
        <v>4</v>
      </c>
      <c r="S72" s="30" t="n">
        <v>4</v>
      </c>
      <c r="T72" s="30" t="n">
        <v>4</v>
      </c>
      <c r="U72" s="30" t="n">
        <v>4</v>
      </c>
      <c r="V72" s="30" t="n">
        <v>4</v>
      </c>
      <c r="W72" s="30" t="n">
        <v>4</v>
      </c>
      <c r="X72" s="30" t="n">
        <v>4</v>
      </c>
      <c r="Y72" s="30" t="n">
        <v>4</v>
      </c>
      <c r="Z72" s="30" t="n">
        <v>4</v>
      </c>
      <c r="AA72" s="30" t="n">
        <v>4</v>
      </c>
      <c r="AB72" s="30" t="n">
        <v>4</v>
      </c>
      <c r="AC72" s="30" t="n">
        <v>4</v>
      </c>
      <c r="AD72" s="30" t="n">
        <v>4</v>
      </c>
      <c r="AE72" s="30" t="n">
        <v>4</v>
      </c>
      <c r="AF72" s="30" t="n">
        <v>4</v>
      </c>
      <c r="AG72" s="30" t="n">
        <v>4</v>
      </c>
      <c r="AH72" s="30" t="n">
        <v>4</v>
      </c>
      <c r="AI72" s="30" t="n">
        <v>4</v>
      </c>
      <c r="AJ72" s="30" t="n">
        <v>4</v>
      </c>
      <c r="AK72" s="30" t="n">
        <v>4</v>
      </c>
    </row>
    <row r="73" customFormat="false" ht="12.8" hidden="false" customHeight="true" outlineLevel="0" collapsed="false">
      <c r="A73" s="35" t="n">
        <v>10</v>
      </c>
      <c r="B73" s="33" t="s">
        <v>42</v>
      </c>
      <c r="C73" s="44" t="n">
        <v>15</v>
      </c>
      <c r="D73" s="45" t="n">
        <f aca="false">$C73-$C73*$C$3</f>
        <v>12.3</v>
      </c>
      <c r="E73" s="46" t="n">
        <f aca="false">$D73/$C$2</f>
        <v>10.4237288135593</v>
      </c>
      <c r="F73" s="30" t="n">
        <v>5</v>
      </c>
      <c r="G73" s="30" t="n">
        <v>5</v>
      </c>
      <c r="H73" s="30" t="n">
        <v>5</v>
      </c>
      <c r="I73" s="30" t="n">
        <v>5</v>
      </c>
      <c r="J73" s="30" t="n">
        <v>5</v>
      </c>
      <c r="K73" s="30" t="n">
        <v>5</v>
      </c>
      <c r="L73" s="30" t="n">
        <v>5</v>
      </c>
      <c r="M73" s="30" t="n">
        <v>5</v>
      </c>
      <c r="N73" s="30" t="n">
        <v>5</v>
      </c>
      <c r="O73" s="30" t="n">
        <v>5</v>
      </c>
      <c r="P73" s="30" t="n">
        <v>5</v>
      </c>
      <c r="Q73" s="30" t="n">
        <v>5</v>
      </c>
      <c r="R73" s="30" t="n">
        <v>5</v>
      </c>
      <c r="S73" s="30" t="n">
        <v>5</v>
      </c>
      <c r="T73" s="30" t="n">
        <v>5</v>
      </c>
      <c r="U73" s="30" t="n">
        <v>5</v>
      </c>
      <c r="V73" s="30" t="n">
        <v>5</v>
      </c>
      <c r="W73" s="30" t="n">
        <v>5</v>
      </c>
      <c r="X73" s="30" t="n">
        <v>5</v>
      </c>
      <c r="Y73" s="30" t="n">
        <v>5</v>
      </c>
      <c r="Z73" s="30" t="n">
        <v>5</v>
      </c>
      <c r="AA73" s="30" t="n">
        <v>5</v>
      </c>
      <c r="AB73" s="30" t="n">
        <v>5</v>
      </c>
      <c r="AC73" s="30" t="n">
        <v>5</v>
      </c>
      <c r="AD73" s="30" t="n">
        <v>5</v>
      </c>
      <c r="AE73" s="30" t="n">
        <v>5</v>
      </c>
      <c r="AF73" s="30" t="n">
        <v>5</v>
      </c>
      <c r="AG73" s="30" t="n">
        <v>5</v>
      </c>
      <c r="AH73" s="30" t="n">
        <v>5</v>
      </c>
      <c r="AI73" s="30" t="n">
        <v>5</v>
      </c>
      <c r="AJ73" s="30" t="n">
        <v>5</v>
      </c>
      <c r="AK73" s="30" t="n">
        <v>5</v>
      </c>
    </row>
    <row r="74" customFormat="false" ht="12.8" hidden="false" customHeight="true" outlineLevel="0" collapsed="false">
      <c r="A74" s="35" t="n">
        <v>11</v>
      </c>
      <c r="B74" s="33" t="s">
        <v>44</v>
      </c>
      <c r="C74" s="44" t="n">
        <v>15</v>
      </c>
      <c r="D74" s="45" t="n">
        <f aca="false">$C74-$C74*$C$3</f>
        <v>12.3</v>
      </c>
      <c r="E74" s="46" t="n">
        <f aca="false">$D74/$C$2</f>
        <v>10.4237288135593</v>
      </c>
      <c r="F74" s="30" t="n">
        <v>4</v>
      </c>
      <c r="G74" s="30" t="n">
        <v>4</v>
      </c>
      <c r="H74" s="30" t="n">
        <v>4</v>
      </c>
      <c r="I74" s="30" t="n">
        <v>4</v>
      </c>
      <c r="J74" s="30" t="n">
        <v>4</v>
      </c>
      <c r="K74" s="30" t="n">
        <v>4</v>
      </c>
      <c r="L74" s="30" t="n">
        <v>4</v>
      </c>
      <c r="M74" s="30" t="n">
        <v>4</v>
      </c>
      <c r="N74" s="30" t="n">
        <v>4</v>
      </c>
      <c r="O74" s="30" t="n">
        <v>4</v>
      </c>
      <c r="P74" s="30" t="n">
        <v>4</v>
      </c>
      <c r="Q74" s="30" t="n">
        <v>4</v>
      </c>
      <c r="R74" s="30" t="n">
        <v>4</v>
      </c>
      <c r="S74" s="30" t="n">
        <v>4</v>
      </c>
      <c r="T74" s="30" t="n">
        <v>4</v>
      </c>
      <c r="U74" s="30" t="n">
        <v>4</v>
      </c>
      <c r="V74" s="30" t="n">
        <v>4</v>
      </c>
      <c r="W74" s="30" t="n">
        <v>4</v>
      </c>
      <c r="X74" s="30" t="n">
        <v>4</v>
      </c>
      <c r="Y74" s="30" t="n">
        <v>4</v>
      </c>
      <c r="Z74" s="30" t="n">
        <v>4</v>
      </c>
      <c r="AA74" s="30" t="n">
        <v>4</v>
      </c>
      <c r="AB74" s="30" t="n">
        <v>4</v>
      </c>
      <c r="AC74" s="30" t="n">
        <v>4</v>
      </c>
      <c r="AD74" s="30" t="n">
        <v>4</v>
      </c>
      <c r="AE74" s="30" t="n">
        <v>4</v>
      </c>
      <c r="AF74" s="30" t="n">
        <v>4</v>
      </c>
      <c r="AG74" s="30" t="n">
        <v>4</v>
      </c>
      <c r="AH74" s="30" t="n">
        <v>4</v>
      </c>
      <c r="AI74" s="30" t="n">
        <v>4</v>
      </c>
      <c r="AJ74" s="30" t="n">
        <v>4</v>
      </c>
      <c r="AK74" s="30" t="n">
        <v>4</v>
      </c>
    </row>
    <row r="75" customFormat="false" ht="12.8" hidden="false" customHeight="true" outlineLevel="0" collapsed="false">
      <c r="A75" s="35" t="n">
        <v>12</v>
      </c>
      <c r="B75" s="33" t="s">
        <v>45</v>
      </c>
      <c r="C75" s="44" t="n">
        <v>15</v>
      </c>
      <c r="D75" s="45" t="n">
        <f aca="false">$C75-$C75*$C$3</f>
        <v>12.3</v>
      </c>
      <c r="E75" s="46" t="n">
        <f aca="false">$D75/$C$2</f>
        <v>10.4237288135593</v>
      </c>
      <c r="F75" s="30" t="n">
        <v>5</v>
      </c>
      <c r="G75" s="30" t="n">
        <v>5</v>
      </c>
      <c r="H75" s="30" t="n">
        <v>5</v>
      </c>
      <c r="I75" s="30" t="n">
        <v>5</v>
      </c>
      <c r="J75" s="30" t="n">
        <v>5</v>
      </c>
      <c r="K75" s="30" t="n">
        <v>5</v>
      </c>
      <c r="L75" s="30" t="n">
        <v>5</v>
      </c>
      <c r="M75" s="30" t="n">
        <v>5</v>
      </c>
      <c r="N75" s="30" t="n">
        <v>5</v>
      </c>
      <c r="O75" s="30" t="n">
        <v>5</v>
      </c>
      <c r="P75" s="30" t="n">
        <v>5</v>
      </c>
      <c r="Q75" s="30" t="n">
        <v>5</v>
      </c>
      <c r="R75" s="30" t="n">
        <v>5</v>
      </c>
      <c r="S75" s="30" t="n">
        <v>5</v>
      </c>
      <c r="T75" s="30" t="n">
        <v>5</v>
      </c>
      <c r="U75" s="30" t="n">
        <v>5</v>
      </c>
      <c r="V75" s="30" t="n">
        <v>5</v>
      </c>
      <c r="W75" s="30" t="n">
        <v>5</v>
      </c>
      <c r="X75" s="30" t="n">
        <v>5</v>
      </c>
      <c r="Y75" s="30" t="n">
        <v>5</v>
      </c>
      <c r="Z75" s="30" t="n">
        <v>5</v>
      </c>
      <c r="AA75" s="30" t="n">
        <v>5</v>
      </c>
      <c r="AB75" s="30" t="n">
        <v>5</v>
      </c>
      <c r="AC75" s="30" t="n">
        <v>5</v>
      </c>
      <c r="AD75" s="30" t="n">
        <v>5</v>
      </c>
      <c r="AE75" s="30" t="n">
        <v>5</v>
      </c>
      <c r="AF75" s="30" t="n">
        <v>5</v>
      </c>
      <c r="AG75" s="30" t="n">
        <v>5</v>
      </c>
      <c r="AH75" s="30" t="n">
        <v>5</v>
      </c>
      <c r="AI75" s="30" t="n">
        <v>5</v>
      </c>
      <c r="AJ75" s="30" t="n">
        <v>5</v>
      </c>
      <c r="AK75" s="30" t="n">
        <v>5</v>
      </c>
    </row>
    <row r="76" customFormat="false" ht="12.8" hidden="false" customHeight="true" outlineLevel="0" collapsed="false">
      <c r="A76" s="35" t="n">
        <v>13</v>
      </c>
      <c r="B76" s="33" t="s">
        <v>46</v>
      </c>
      <c r="C76" s="44" t="n">
        <v>19</v>
      </c>
      <c r="D76" s="45" t="n">
        <f aca="false">$C76-$C76*$C$3</f>
        <v>15.58</v>
      </c>
      <c r="E76" s="46" t="n">
        <f aca="false">$D76/$C$2</f>
        <v>13.2033898305085</v>
      </c>
      <c r="F76" s="30" t="n">
        <v>5</v>
      </c>
      <c r="G76" s="30" t="n">
        <v>5</v>
      </c>
      <c r="H76" s="30" t="n">
        <v>5</v>
      </c>
      <c r="I76" s="30" t="n">
        <v>5</v>
      </c>
      <c r="J76" s="30" t="n">
        <v>5</v>
      </c>
      <c r="K76" s="30" t="n">
        <v>5</v>
      </c>
      <c r="L76" s="30" t="n">
        <v>5</v>
      </c>
      <c r="M76" s="30" t="n">
        <v>5</v>
      </c>
      <c r="N76" s="30" t="n">
        <v>5</v>
      </c>
      <c r="O76" s="30" t="n">
        <v>5</v>
      </c>
      <c r="P76" s="30" t="n">
        <v>5</v>
      </c>
      <c r="Q76" s="30" t="n">
        <v>5</v>
      </c>
      <c r="R76" s="30" t="n">
        <v>5</v>
      </c>
      <c r="S76" s="30" t="n">
        <v>5</v>
      </c>
      <c r="T76" s="30" t="n">
        <v>5</v>
      </c>
      <c r="U76" s="30" t="n">
        <v>5</v>
      </c>
      <c r="V76" s="30" t="n">
        <v>5</v>
      </c>
      <c r="W76" s="30" t="n">
        <v>5</v>
      </c>
      <c r="X76" s="30" t="n">
        <v>5</v>
      </c>
      <c r="Y76" s="30" t="n">
        <v>5</v>
      </c>
      <c r="Z76" s="30" t="n">
        <v>5</v>
      </c>
      <c r="AA76" s="30" t="n">
        <v>5</v>
      </c>
      <c r="AB76" s="30" t="n">
        <v>5</v>
      </c>
      <c r="AC76" s="30" t="n">
        <v>5</v>
      </c>
      <c r="AD76" s="30" t="n">
        <v>5</v>
      </c>
      <c r="AE76" s="30" t="n">
        <v>5</v>
      </c>
      <c r="AF76" s="30" t="n">
        <v>5</v>
      </c>
      <c r="AG76" s="30" t="n">
        <v>5</v>
      </c>
      <c r="AH76" s="30" t="n">
        <v>5</v>
      </c>
      <c r="AI76" s="30" t="n">
        <v>5</v>
      </c>
      <c r="AJ76" s="30" t="n">
        <v>5</v>
      </c>
      <c r="AK76" s="30" t="n">
        <v>5</v>
      </c>
    </row>
    <row r="77" customFormat="false" ht="12.8" hidden="false" customHeight="true" outlineLevel="0" collapsed="false">
      <c r="A77" s="50" t="n">
        <v>14</v>
      </c>
      <c r="B77" s="51" t="s">
        <v>52</v>
      </c>
      <c r="C77" s="56" t="n">
        <v>21</v>
      </c>
      <c r="D77" s="57" t="n">
        <f aca="false">$C77-$C77*$C$3</f>
        <v>17.22</v>
      </c>
      <c r="E77" s="58" t="n">
        <f aca="false">$D77/$C$2</f>
        <v>14.5932203389831</v>
      </c>
      <c r="F77" s="47" t="n">
        <v>4</v>
      </c>
      <c r="G77" s="47" t="n">
        <v>4</v>
      </c>
      <c r="H77" s="47" t="n">
        <v>4</v>
      </c>
      <c r="I77" s="47" t="n">
        <v>4</v>
      </c>
      <c r="J77" s="47" t="n">
        <v>4</v>
      </c>
      <c r="K77" s="47" t="n">
        <v>4</v>
      </c>
      <c r="L77" s="47" t="n">
        <v>4</v>
      </c>
      <c r="M77" s="47" t="n">
        <v>4</v>
      </c>
      <c r="N77" s="47" t="n">
        <v>4</v>
      </c>
      <c r="O77" s="47" t="n">
        <v>4</v>
      </c>
      <c r="P77" s="47" t="n">
        <v>4</v>
      </c>
      <c r="Q77" s="47" t="n">
        <v>4</v>
      </c>
      <c r="R77" s="47" t="n">
        <v>4</v>
      </c>
      <c r="S77" s="47" t="n">
        <v>4</v>
      </c>
      <c r="T77" s="47" t="n">
        <v>4</v>
      </c>
      <c r="U77" s="47" t="n">
        <v>4</v>
      </c>
      <c r="V77" s="47" t="n">
        <v>4</v>
      </c>
      <c r="W77" s="47" t="n">
        <v>4</v>
      </c>
      <c r="X77" s="47" t="n">
        <v>4</v>
      </c>
      <c r="Y77" s="47" t="n">
        <v>4</v>
      </c>
      <c r="Z77" s="47" t="n">
        <v>4</v>
      </c>
      <c r="AA77" s="47" t="n">
        <v>4</v>
      </c>
      <c r="AB77" s="47" t="n">
        <v>4</v>
      </c>
      <c r="AC77" s="47" t="n">
        <v>4</v>
      </c>
      <c r="AD77" s="47" t="n">
        <v>4</v>
      </c>
      <c r="AE77" s="47" t="n">
        <v>4</v>
      </c>
      <c r="AF77" s="47" t="n">
        <v>4</v>
      </c>
      <c r="AG77" s="47" t="n">
        <v>4</v>
      </c>
      <c r="AH77" s="47" t="n">
        <v>4</v>
      </c>
      <c r="AI77" s="47" t="n">
        <v>4</v>
      </c>
      <c r="AJ77" s="47" t="n">
        <v>4</v>
      </c>
      <c r="AK77" s="47" t="n">
        <v>4</v>
      </c>
    </row>
    <row r="78" customFormat="false" ht="12.8" hidden="false" customHeight="true" outlineLevel="0" collapsed="false">
      <c r="A78" s="50" t="n">
        <v>14</v>
      </c>
      <c r="B78" s="51" t="s">
        <v>52</v>
      </c>
      <c r="C78" s="56" t="n">
        <v>21</v>
      </c>
      <c r="D78" s="57" t="n">
        <f aca="false">$C78-$C78*$C$3</f>
        <v>17.22</v>
      </c>
      <c r="E78" s="58" t="n">
        <f aca="false">$D78/$C$2</f>
        <v>14.5932203389831</v>
      </c>
      <c r="F78" s="47" t="n">
        <v>4</v>
      </c>
      <c r="G78" s="47" t="n">
        <v>4</v>
      </c>
      <c r="H78" s="47" t="n">
        <v>4</v>
      </c>
      <c r="I78" s="47" t="n">
        <v>4</v>
      </c>
      <c r="J78" s="47" t="n">
        <v>4</v>
      </c>
      <c r="K78" s="47" t="n">
        <v>4</v>
      </c>
      <c r="L78" s="47" t="n">
        <v>4</v>
      </c>
      <c r="M78" s="47" t="n">
        <v>4</v>
      </c>
      <c r="N78" s="47" t="n">
        <v>4</v>
      </c>
      <c r="O78" s="47" t="n">
        <v>4</v>
      </c>
      <c r="P78" s="47" t="n">
        <v>4</v>
      </c>
      <c r="Q78" s="47" t="n">
        <v>4</v>
      </c>
      <c r="R78" s="47" t="n">
        <v>4</v>
      </c>
      <c r="S78" s="47" t="n">
        <v>4</v>
      </c>
      <c r="T78" s="47" t="n">
        <v>4</v>
      </c>
      <c r="U78" s="47" t="n">
        <v>4</v>
      </c>
      <c r="V78" s="47" t="n">
        <v>4</v>
      </c>
      <c r="W78" s="47" t="n">
        <v>4</v>
      </c>
      <c r="X78" s="47" t="n">
        <v>4</v>
      </c>
      <c r="Y78" s="47" t="n">
        <v>4</v>
      </c>
      <c r="Z78" s="47" t="n">
        <v>4</v>
      </c>
      <c r="AA78" s="47" t="n">
        <v>4</v>
      </c>
      <c r="AB78" s="47" t="n">
        <v>4</v>
      </c>
      <c r="AC78" s="47" t="n">
        <v>4</v>
      </c>
      <c r="AD78" s="47" t="n">
        <v>4</v>
      </c>
      <c r="AE78" s="47" t="n">
        <v>4</v>
      </c>
      <c r="AF78" s="47" t="n">
        <v>4</v>
      </c>
      <c r="AG78" s="47" t="n">
        <v>4</v>
      </c>
      <c r="AH78" s="47" t="n">
        <v>4</v>
      </c>
      <c r="AI78" s="47" t="n">
        <v>4</v>
      </c>
      <c r="AJ78" s="47" t="n">
        <v>4</v>
      </c>
      <c r="AK78" s="47" t="n">
        <v>4</v>
      </c>
    </row>
    <row r="79" customFormat="false" ht="12.8" hidden="false" customHeight="true" outlineLevel="0" collapsed="false">
      <c r="A79" s="50" t="n">
        <v>15</v>
      </c>
      <c r="B79" s="51" t="s">
        <v>52</v>
      </c>
      <c r="C79" s="56" t="n">
        <v>21</v>
      </c>
      <c r="D79" s="57" t="n">
        <f aca="false">$C79-$C79*$C$3</f>
        <v>17.22</v>
      </c>
      <c r="E79" s="58" t="n">
        <f aca="false">$D79/$C$2</f>
        <v>14.5932203389831</v>
      </c>
      <c r="F79" s="47" t="n">
        <v>4</v>
      </c>
      <c r="G79" s="47" t="n">
        <v>4</v>
      </c>
      <c r="H79" s="47" t="n">
        <v>4</v>
      </c>
      <c r="I79" s="47" t="n">
        <v>4</v>
      </c>
      <c r="J79" s="47" t="n">
        <v>4</v>
      </c>
      <c r="K79" s="47" t="n">
        <v>4</v>
      </c>
      <c r="L79" s="47" t="n">
        <v>4</v>
      </c>
      <c r="M79" s="47" t="n">
        <v>4</v>
      </c>
      <c r="N79" s="47" t="n">
        <v>4</v>
      </c>
      <c r="O79" s="47" t="n">
        <v>4</v>
      </c>
      <c r="P79" s="47" t="n">
        <v>4</v>
      </c>
      <c r="Q79" s="47" t="n">
        <v>4</v>
      </c>
      <c r="R79" s="47" t="n">
        <v>4</v>
      </c>
      <c r="S79" s="47" t="n">
        <v>4</v>
      </c>
      <c r="T79" s="47" t="n">
        <v>4</v>
      </c>
      <c r="U79" s="47" t="n">
        <v>4</v>
      </c>
      <c r="V79" s="47" t="n">
        <v>4</v>
      </c>
      <c r="W79" s="47" t="n">
        <v>4</v>
      </c>
      <c r="X79" s="47" t="n">
        <v>4</v>
      </c>
      <c r="Y79" s="47" t="n">
        <v>4</v>
      </c>
      <c r="Z79" s="47" t="n">
        <v>4</v>
      </c>
      <c r="AA79" s="47" t="n">
        <v>4</v>
      </c>
      <c r="AB79" s="47" t="n">
        <v>4</v>
      </c>
      <c r="AC79" s="47" t="n">
        <v>4</v>
      </c>
      <c r="AD79" s="47" t="n">
        <v>4</v>
      </c>
      <c r="AE79" s="47" t="n">
        <v>4</v>
      </c>
      <c r="AF79" s="47" t="n">
        <v>4</v>
      </c>
      <c r="AG79" s="47" t="n">
        <v>4</v>
      </c>
      <c r="AH79" s="47" t="n">
        <v>4</v>
      </c>
      <c r="AI79" s="47" t="n">
        <v>4</v>
      </c>
      <c r="AJ79" s="47" t="n">
        <v>4</v>
      </c>
      <c r="AK79" s="47" t="n">
        <v>4</v>
      </c>
    </row>
    <row r="80" customFormat="false" ht="12.8" hidden="false" customHeight="true" outlineLevel="0" collapsed="false">
      <c r="A80" s="50" t="n">
        <v>15</v>
      </c>
      <c r="B80" s="51" t="s">
        <v>52</v>
      </c>
      <c r="C80" s="56" t="n">
        <v>21</v>
      </c>
      <c r="D80" s="57" t="n">
        <f aca="false">$C80-$C80*$C$3</f>
        <v>17.22</v>
      </c>
      <c r="E80" s="58" t="n">
        <f aca="false">$D80/$C$2</f>
        <v>14.5932203389831</v>
      </c>
      <c r="F80" s="47" t="n">
        <v>4</v>
      </c>
      <c r="G80" s="47" t="n">
        <v>4</v>
      </c>
      <c r="H80" s="47" t="n">
        <v>4</v>
      </c>
      <c r="I80" s="47" t="n">
        <v>4</v>
      </c>
      <c r="J80" s="47" t="n">
        <v>4</v>
      </c>
      <c r="K80" s="47" t="n">
        <v>4</v>
      </c>
      <c r="L80" s="47" t="n">
        <v>4</v>
      </c>
      <c r="M80" s="47" t="n">
        <v>4</v>
      </c>
      <c r="N80" s="47" t="n">
        <v>4</v>
      </c>
      <c r="O80" s="47" t="n">
        <v>4</v>
      </c>
      <c r="P80" s="47" t="n">
        <v>4</v>
      </c>
      <c r="Q80" s="47" t="n">
        <v>4</v>
      </c>
      <c r="R80" s="47" t="n">
        <v>4</v>
      </c>
      <c r="S80" s="47" t="n">
        <v>4</v>
      </c>
      <c r="T80" s="47" t="n">
        <v>4</v>
      </c>
      <c r="U80" s="47" t="n">
        <v>4</v>
      </c>
      <c r="V80" s="47" t="n">
        <v>4</v>
      </c>
      <c r="W80" s="47" t="n">
        <v>4</v>
      </c>
      <c r="X80" s="47" t="n">
        <v>4</v>
      </c>
      <c r="Y80" s="47" t="n">
        <v>4</v>
      </c>
      <c r="Z80" s="47" t="n">
        <v>4</v>
      </c>
      <c r="AA80" s="47" t="n">
        <v>4</v>
      </c>
      <c r="AB80" s="47" t="n">
        <v>4</v>
      </c>
      <c r="AC80" s="47" t="n">
        <v>4</v>
      </c>
      <c r="AD80" s="47" t="n">
        <v>4</v>
      </c>
      <c r="AE80" s="47" t="n">
        <v>4</v>
      </c>
      <c r="AF80" s="47" t="n">
        <v>4</v>
      </c>
      <c r="AG80" s="47" t="n">
        <v>4</v>
      </c>
      <c r="AH80" s="47" t="n">
        <v>4</v>
      </c>
      <c r="AI80" s="47" t="n">
        <v>4</v>
      </c>
      <c r="AJ80" s="47" t="n">
        <v>4</v>
      </c>
      <c r="AK80" s="47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6"/>
  <sheetViews>
    <sheetView showFormulas="false" showGridLines="true" showRowColHeaders="true" showZeros="false" rightToLeft="false" tabSelected="false" showOutlineSymbols="true" defaultGridColor="true" view="normal" topLeftCell="A6" colorId="64" zoomScale="110" zoomScaleNormal="110" zoomScalePageLayoutView="100" workbookViewId="0">
      <selection pane="topLeft" activeCell="F24" activeCellId="0" sqref="F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5.28"/>
    <col collapsed="false" customWidth="true" hidden="false" outlineLevel="0" max="2" min="2" style="1" width="16.31"/>
    <col collapsed="false" customWidth="true" hidden="false" outlineLevel="0" max="3" min="3" style="1" width="7.5"/>
    <col collapsed="false" customWidth="true" hidden="false" outlineLevel="0" max="4" min="4" style="1" width="9.74"/>
    <col collapsed="false" customWidth="true" hidden="false" outlineLevel="0" max="5" min="5" style="1" width="8.62"/>
    <col collapsed="false" customWidth="false" hidden="false" outlineLevel="0" max="6" min="6" style="1" width="11.53"/>
    <col collapsed="false" customWidth="true" hidden="false" outlineLevel="0" max="9" min="9" style="1" width="14.47"/>
    <col collapsed="false" customWidth="true" hidden="false" outlineLevel="0" max="37" min="10" style="1" width="11.26"/>
  </cols>
  <sheetData>
    <row r="1" customFormat="false" ht="12.8" hidden="false" customHeight="false" outlineLevel="0" collapsed="false">
      <c r="B1" s="1" t="s">
        <v>53</v>
      </c>
      <c r="F1" s="1" t="n">
        <v>83</v>
      </c>
      <c r="G1" s="1" t="n">
        <v>91</v>
      </c>
    </row>
    <row r="2" customFormat="false" ht="12.8" hidden="false" customHeight="false" outlineLevel="0" collapsed="false">
      <c r="B2" s="1" t="s">
        <v>54</v>
      </c>
      <c r="F2" s="1" t="n">
        <v>1865</v>
      </c>
      <c r="G2" s="1" t="n">
        <v>1865</v>
      </c>
    </row>
    <row r="3" customFormat="false" ht="12.8" hidden="false" customHeight="false" outlineLevel="0" collapsed="false">
      <c r="B3" s="1" t="s">
        <v>3</v>
      </c>
      <c r="F3" s="1" t="n">
        <v>65</v>
      </c>
      <c r="G3" s="1" t="n">
        <v>68</v>
      </c>
      <c r="H3" s="8" t="n">
        <v>246</v>
      </c>
    </row>
    <row r="4" customFormat="false" ht="12.8" hidden="false" customHeight="false" outlineLevel="0" collapsed="false">
      <c r="B4" s="1" t="s">
        <v>16</v>
      </c>
      <c r="F4" s="1" t="n">
        <v>17</v>
      </c>
      <c r="G4" s="59" t="s">
        <v>55</v>
      </c>
    </row>
    <row r="5" customFormat="false" ht="12.8" hidden="false" customHeight="false" outlineLevel="0" collapsed="false">
      <c r="G5" s="1" t="s">
        <v>56</v>
      </c>
    </row>
    <row r="6" customFormat="false" ht="12.8" hidden="false" customHeight="false" outlineLevel="0" collapsed="false"/>
    <row r="7" customFormat="false" ht="12.8" hidden="false" customHeight="false" outlineLevel="0" collapsed="false">
      <c r="B7" s="1" t="s">
        <v>13</v>
      </c>
      <c r="C7" s="1" t="n">
        <v>1.18</v>
      </c>
    </row>
    <row r="8" customFormat="false" ht="12.8" hidden="false" customHeight="false" outlineLevel="0" collapsed="false">
      <c r="B8" s="1" t="s">
        <v>15</v>
      </c>
      <c r="C8" s="1" t="n">
        <v>0.18</v>
      </c>
    </row>
    <row r="10" customFormat="false" ht="12.8" hidden="false" customHeight="false" outlineLevel="0" collapsed="false">
      <c r="A10" s="30"/>
      <c r="B10" s="30" t="s">
        <v>23</v>
      </c>
      <c r="C10" s="30" t="n">
        <v>10</v>
      </c>
      <c r="D10" s="30"/>
      <c r="E10" s="30"/>
      <c r="F10" s="31" t="n">
        <f aca="false">F$17*$C$10+F$15</f>
        <v>869.327001753361</v>
      </c>
      <c r="G10" s="30"/>
      <c r="H10" s="30"/>
      <c r="I10" s="31"/>
      <c r="J10" s="31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</row>
    <row r="11" customFormat="false" ht="12.8" hidden="false" customHeight="false" outlineLevel="0" collapsed="false">
      <c r="A11" s="30"/>
      <c r="B11" s="30"/>
      <c r="C11" s="30"/>
      <c r="D11" s="30"/>
      <c r="E11" s="30"/>
      <c r="F11" s="31" t="n">
        <f aca="false">F10/$C$7</f>
        <v>736.717798096069</v>
      </c>
      <c r="G11" s="30"/>
      <c r="H11" s="30"/>
      <c r="I11" s="31"/>
      <c r="J11" s="31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</row>
    <row r="12" customFormat="false" ht="12.8" hidden="false" customHeight="true" outlineLevel="0" collapsed="false">
      <c r="F12" s="1" t="s">
        <v>57</v>
      </c>
    </row>
    <row r="13" customFormat="false" ht="12.8" hidden="false" customHeight="false" outlineLevel="0" collapsed="false">
      <c r="A13" s="33"/>
      <c r="B13" s="33"/>
      <c r="C13" s="33"/>
      <c r="D13" s="33"/>
      <c r="E13" s="33"/>
      <c r="F13" s="34" t="n">
        <v>0</v>
      </c>
      <c r="G13" s="34" t="n">
        <v>1</v>
      </c>
      <c r="H13" s="34" t="n">
        <v>2</v>
      </c>
      <c r="I13" s="34" t="n">
        <v>3</v>
      </c>
      <c r="J13" s="34" t="n">
        <v>4</v>
      </c>
      <c r="K13" s="34" t="n">
        <v>5</v>
      </c>
      <c r="L13" s="34" t="n">
        <v>6</v>
      </c>
      <c r="M13" s="34" t="n">
        <v>7</v>
      </c>
      <c r="N13" s="34" t="n">
        <v>8</v>
      </c>
      <c r="O13" s="34" t="n">
        <v>9</v>
      </c>
      <c r="P13" s="34" t="n">
        <v>10</v>
      </c>
      <c r="Q13" s="34" t="n">
        <v>11</v>
      </c>
      <c r="R13" s="34" t="n">
        <v>12</v>
      </c>
      <c r="S13" s="34" t="n">
        <v>13</v>
      </c>
      <c r="T13" s="34" t="n">
        <v>14</v>
      </c>
      <c r="U13" s="34" t="n">
        <v>15</v>
      </c>
      <c r="V13" s="34" t="n">
        <v>16</v>
      </c>
      <c r="W13" s="34" t="n">
        <v>17</v>
      </c>
      <c r="X13" s="34" t="n">
        <v>18</v>
      </c>
      <c r="Y13" s="34" t="n">
        <v>19</v>
      </c>
      <c r="Z13" s="34" t="n">
        <v>20</v>
      </c>
      <c r="AA13" s="34" t="n">
        <v>21</v>
      </c>
      <c r="AB13" s="34" t="n">
        <v>22</v>
      </c>
      <c r="AC13" s="34" t="n">
        <v>23</v>
      </c>
      <c r="AD13" s="34" t="n">
        <v>24</v>
      </c>
      <c r="AE13" s="34" t="n">
        <v>25</v>
      </c>
      <c r="AF13" s="34" t="n">
        <v>26</v>
      </c>
      <c r="AG13" s="34" t="n">
        <v>27</v>
      </c>
      <c r="AH13" s="34" t="n">
        <v>28</v>
      </c>
      <c r="AI13" s="34" t="n">
        <v>29</v>
      </c>
      <c r="AJ13" s="34" t="n">
        <v>30</v>
      </c>
      <c r="AK13" s="34" t="n">
        <v>31</v>
      </c>
    </row>
    <row r="14" customFormat="false" ht="12.8" hidden="false" customHeight="false" outlineLevel="0" collapsed="false">
      <c r="A14" s="35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</row>
    <row r="15" customFormat="false" ht="12.8" hidden="false" customHeight="false" outlineLevel="0" collapsed="false">
      <c r="A15" s="33"/>
      <c r="B15" s="33" t="s">
        <v>25</v>
      </c>
      <c r="C15" s="40"/>
      <c r="D15" s="40"/>
      <c r="E15" s="40"/>
      <c r="F15" s="41" t="n">
        <f aca="false">SUMPRODUCT(F$21:F$33,$C$21:$C$33)*(1-$C$8)</f>
        <v>758.5</v>
      </c>
      <c r="G15" s="40"/>
      <c r="H15" s="40"/>
      <c r="I15" s="41"/>
      <c r="J15" s="41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</row>
    <row r="16" customFormat="false" ht="12.8" hidden="false" customHeight="false" outlineLevel="0" collapsed="false">
      <c r="A16" s="33"/>
      <c r="B16" s="33" t="s">
        <v>26</v>
      </c>
      <c r="C16" s="38"/>
      <c r="D16" s="38"/>
      <c r="E16" s="38"/>
      <c r="F16" s="42" t="n">
        <f aca="false">F$15/$C$7</f>
        <v>642.796610169492</v>
      </c>
      <c r="G16" s="38"/>
      <c r="H16" s="38"/>
      <c r="I16" s="42"/>
      <c r="J16" s="42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</row>
    <row r="17" customFormat="false" ht="12.8" hidden="false" customHeight="false" outlineLevel="0" collapsed="false">
      <c r="A17" s="33"/>
      <c r="B17" s="33" t="s">
        <v>27</v>
      </c>
      <c r="C17" s="40"/>
      <c r="D17" s="40"/>
      <c r="E17" s="40"/>
      <c r="F17" s="41" t="n">
        <f aca="false">F$16/(SUM(F$21:F$33))</f>
        <v>11.0827001753361</v>
      </c>
      <c r="G17" s="40"/>
      <c r="H17" s="40"/>
      <c r="I17" s="41"/>
      <c r="J17" s="41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</row>
    <row r="18" customFormat="false" ht="12.8" hidden="false" customHeight="false" outlineLevel="0" collapsed="false">
      <c r="A18" s="33"/>
      <c r="B18" s="33" t="s">
        <v>28</v>
      </c>
      <c r="C18" s="38"/>
      <c r="D18" s="38"/>
      <c r="E18" s="38"/>
      <c r="F18" s="42" t="n">
        <f aca="false">F$17/$C$7</f>
        <v>9.39211879265768</v>
      </c>
      <c r="G18" s="38"/>
      <c r="H18" s="38"/>
      <c r="I18" s="42"/>
      <c r="J18" s="42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</row>
    <row r="19" customFormat="false" ht="12.8" hidden="false" customHeight="false" outlineLevel="0" collapsed="false">
      <c r="A19" s="33"/>
      <c r="B19" s="33"/>
      <c r="C19" s="38"/>
      <c r="D19" s="38"/>
      <c r="E19" s="38"/>
      <c r="F19" s="42"/>
      <c r="G19" s="38"/>
      <c r="H19" s="38"/>
      <c r="I19" s="42"/>
      <c r="J19" s="42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</row>
    <row r="20" customFormat="false" ht="12.8" hidden="false" customHeight="false" outlineLevel="0" collapsed="false">
      <c r="A20" s="35"/>
      <c r="B20" s="43" t="s">
        <v>29</v>
      </c>
    </row>
    <row r="21" customFormat="false" ht="12.8" hidden="false" customHeight="false" outlineLevel="0" collapsed="false">
      <c r="A21" s="35" t="n">
        <v>1</v>
      </c>
      <c r="B21" s="33" t="s">
        <v>30</v>
      </c>
      <c r="C21" s="44" t="n">
        <v>15</v>
      </c>
      <c r="D21" s="45" t="n">
        <f aca="false">$C21-$C21*$C$8</f>
        <v>12.3</v>
      </c>
      <c r="E21" s="46" t="n">
        <f aca="false">$D21/$C$7</f>
        <v>10.4237288135593</v>
      </c>
      <c r="F21" s="30" t="n">
        <v>13</v>
      </c>
      <c r="I21" s="30"/>
      <c r="J21" s="30"/>
    </row>
    <row r="22" customFormat="false" ht="12.8" hidden="false" customHeight="false" outlineLevel="0" collapsed="false">
      <c r="A22" s="35" t="n">
        <v>2</v>
      </c>
      <c r="B22" s="33" t="s">
        <v>31</v>
      </c>
      <c r="C22" s="44" t="n">
        <v>15</v>
      </c>
      <c r="D22" s="45" t="n">
        <f aca="false">$C22-$C22*$C$8</f>
        <v>12.3</v>
      </c>
      <c r="E22" s="46" t="n">
        <f aca="false">$D22/$C$7</f>
        <v>10.4237288135593</v>
      </c>
      <c r="F22" s="30" t="n">
        <v>5</v>
      </c>
      <c r="I22" s="30"/>
      <c r="J22" s="30"/>
    </row>
    <row r="23" customFormat="false" ht="12.8" hidden="false" customHeight="false" outlineLevel="0" collapsed="false">
      <c r="A23" s="35" t="n">
        <v>3</v>
      </c>
      <c r="B23" s="33" t="s">
        <v>32</v>
      </c>
      <c r="C23" s="44" t="n">
        <v>15</v>
      </c>
      <c r="D23" s="45" t="n">
        <f aca="false">$C23-$C23*$C$8</f>
        <v>12.3</v>
      </c>
      <c r="E23" s="46" t="n">
        <f aca="false">$D23/$C$7</f>
        <v>10.4237288135593</v>
      </c>
      <c r="F23" s="30" t="n">
        <v>0</v>
      </c>
      <c r="I23" s="30"/>
      <c r="J23" s="30"/>
    </row>
    <row r="24" customFormat="false" ht="12.8" hidden="false" customHeight="false" outlineLevel="0" collapsed="false">
      <c r="A24" s="35" t="n">
        <v>4</v>
      </c>
      <c r="B24" s="33" t="s">
        <v>34</v>
      </c>
      <c r="C24" s="44" t="n">
        <v>23</v>
      </c>
      <c r="D24" s="45" t="n">
        <f aca="false">$C24-$C24*$C$8</f>
        <v>18.86</v>
      </c>
      <c r="E24" s="46" t="n">
        <f aca="false">$D24/$C$7</f>
        <v>15.9830508474576</v>
      </c>
      <c r="F24" s="30"/>
      <c r="I24" s="30"/>
      <c r="J24" s="30"/>
    </row>
    <row r="25" customFormat="false" ht="12.8" hidden="false" customHeight="false" outlineLevel="0" collapsed="false">
      <c r="A25" s="35" t="n">
        <v>5</v>
      </c>
      <c r="B25" s="33" t="s">
        <v>36</v>
      </c>
      <c r="C25" s="44" t="n">
        <v>15</v>
      </c>
      <c r="D25" s="45" t="n">
        <f aca="false">$C25-$C25*$C$8</f>
        <v>12.3</v>
      </c>
      <c r="E25" s="46" t="n">
        <f aca="false">$D25/$C$7</f>
        <v>10.4237288135593</v>
      </c>
      <c r="F25" s="30" t="n">
        <v>4</v>
      </c>
      <c r="I25" s="30"/>
      <c r="J25" s="30"/>
    </row>
    <row r="26" customFormat="false" ht="12.8" hidden="false" customHeight="false" outlineLevel="0" collapsed="false">
      <c r="A26" s="35" t="n">
        <v>6</v>
      </c>
      <c r="B26" s="33" t="s">
        <v>37</v>
      </c>
      <c r="C26" s="44" t="n">
        <v>18</v>
      </c>
      <c r="D26" s="45" t="n">
        <f aca="false">$C26-$C26*$C$8</f>
        <v>14.76</v>
      </c>
      <c r="E26" s="46" t="n">
        <f aca="false">$D26/$C$7</f>
        <v>12.5084745762712</v>
      </c>
      <c r="F26" s="30" t="n">
        <v>9</v>
      </c>
      <c r="I26" s="30"/>
      <c r="J26" s="30"/>
    </row>
    <row r="27" customFormat="false" ht="12.8" hidden="false" customHeight="false" outlineLevel="0" collapsed="false">
      <c r="A27" s="35" t="n">
        <v>7</v>
      </c>
      <c r="B27" s="33" t="s">
        <v>38</v>
      </c>
      <c r="C27" s="44" t="n">
        <v>14</v>
      </c>
      <c r="D27" s="45" t="n">
        <f aca="false">$C27-$C27*$C$8</f>
        <v>11.48</v>
      </c>
      <c r="E27" s="46" t="n">
        <f aca="false">$D27/$C$7</f>
        <v>9.72881355932204</v>
      </c>
      <c r="F27" s="30" t="n">
        <v>4</v>
      </c>
      <c r="I27" s="30"/>
      <c r="J27" s="30"/>
    </row>
    <row r="28" customFormat="false" ht="12.8" hidden="false" customHeight="false" outlineLevel="0" collapsed="false">
      <c r="A28" s="35" t="n">
        <v>8</v>
      </c>
      <c r="B28" s="33" t="s">
        <v>40</v>
      </c>
      <c r="C28" s="44" t="n">
        <v>18</v>
      </c>
      <c r="D28" s="45" t="n">
        <f aca="false">$C28-$C28*$C$8</f>
        <v>14.76</v>
      </c>
      <c r="E28" s="46" t="n">
        <f aca="false">$D28/$C$7</f>
        <v>12.5084745762712</v>
      </c>
      <c r="F28" s="30" t="n">
        <v>0</v>
      </c>
      <c r="I28" s="30"/>
      <c r="J28" s="30"/>
    </row>
    <row r="29" customFormat="false" ht="12.8" hidden="false" customHeight="false" outlineLevel="0" collapsed="false">
      <c r="A29" s="35" t="n">
        <v>9</v>
      </c>
      <c r="B29" s="33" t="s">
        <v>41</v>
      </c>
      <c r="C29" s="44" t="n">
        <v>18</v>
      </c>
      <c r="D29" s="45" t="n">
        <f aca="false">$C29-$C29*$C$8</f>
        <v>14.76</v>
      </c>
      <c r="E29" s="46" t="n">
        <f aca="false">$D29/$C$7</f>
        <v>12.5084745762712</v>
      </c>
      <c r="F29" s="30" t="n">
        <v>4</v>
      </c>
      <c r="I29" s="30"/>
      <c r="J29" s="30"/>
    </row>
    <row r="30" customFormat="false" ht="12.8" hidden="false" customHeight="false" outlineLevel="0" collapsed="false">
      <c r="A30" s="35" t="n">
        <v>10</v>
      </c>
      <c r="B30" s="33" t="s">
        <v>42</v>
      </c>
      <c r="C30" s="44" t="n">
        <v>15</v>
      </c>
      <c r="D30" s="45" t="n">
        <f aca="false">$C30-$C30*$C$8</f>
        <v>12.3</v>
      </c>
      <c r="E30" s="46" t="n">
        <f aca="false">$D30/$C$7</f>
        <v>10.4237288135593</v>
      </c>
      <c r="F30" s="30" t="n">
        <v>5</v>
      </c>
      <c r="I30" s="30"/>
      <c r="J30" s="30"/>
    </row>
    <row r="31" customFormat="false" ht="12.8" hidden="false" customHeight="false" outlineLevel="0" collapsed="false">
      <c r="A31" s="35" t="n">
        <v>11</v>
      </c>
      <c r="B31" s="33" t="s">
        <v>44</v>
      </c>
      <c r="C31" s="44" t="n">
        <v>15</v>
      </c>
      <c r="D31" s="45" t="n">
        <f aca="false">$C31-$C31*$C$8</f>
        <v>12.3</v>
      </c>
      <c r="E31" s="46" t="n">
        <f aca="false">$D31/$C$7</f>
        <v>10.4237288135593</v>
      </c>
      <c r="F31" s="30" t="n">
        <v>4</v>
      </c>
      <c r="I31" s="30"/>
      <c r="J31" s="30"/>
    </row>
    <row r="32" customFormat="false" ht="12.8" hidden="false" customHeight="false" outlineLevel="0" collapsed="false">
      <c r="A32" s="35" t="n">
        <v>12</v>
      </c>
      <c r="B32" s="33" t="s">
        <v>45</v>
      </c>
      <c r="C32" s="44" t="n">
        <v>15</v>
      </c>
      <c r="D32" s="45" t="n">
        <f aca="false">$C32-$C32*$C$8</f>
        <v>12.3</v>
      </c>
      <c r="E32" s="46" t="n">
        <f aca="false">$D32/$C$7</f>
        <v>10.4237288135593</v>
      </c>
      <c r="F32" s="30" t="n">
        <v>5</v>
      </c>
      <c r="I32" s="30"/>
      <c r="J32" s="30"/>
    </row>
    <row r="33" customFormat="false" ht="12.8" hidden="false" customHeight="false" outlineLevel="0" collapsed="false">
      <c r="A33" s="35" t="n">
        <v>13</v>
      </c>
      <c r="B33" s="33" t="s">
        <v>46</v>
      </c>
      <c r="C33" s="44" t="n">
        <v>19</v>
      </c>
      <c r="D33" s="45" t="n">
        <f aca="false">$C33-$C33*$C$8</f>
        <v>15.58</v>
      </c>
      <c r="E33" s="46" t="n">
        <f aca="false">$D33/$C$7</f>
        <v>13.2033898305085</v>
      </c>
      <c r="F33" s="30" t="n">
        <v>5</v>
      </c>
      <c r="I33" s="30"/>
      <c r="J33" s="30"/>
    </row>
    <row r="34" customFormat="false" ht="12.8" hidden="false" customHeight="false" outlineLevel="0" collapsed="false">
      <c r="A34" s="50" t="n">
        <v>14</v>
      </c>
      <c r="B34" s="51" t="s">
        <v>58</v>
      </c>
      <c r="C34" s="52" t="n">
        <v>21</v>
      </c>
      <c r="D34" s="45" t="n">
        <f aca="false">$C34-$C34*$C$8</f>
        <v>17.22</v>
      </c>
      <c r="E34" s="46" t="n">
        <f aca="false">$D34/$C$7</f>
        <v>14.5932203389831</v>
      </c>
      <c r="F34" s="46"/>
    </row>
    <row r="35" customFormat="false" ht="12.8" hidden="false" customHeight="false" outlineLevel="0" collapsed="false">
      <c r="D35" s="54"/>
      <c r="E35" s="54"/>
      <c r="F35" s="54"/>
    </row>
    <row r="36" customFormat="false" ht="12.8" hidden="false" customHeight="false" outlineLevel="0" collapsed="false">
      <c r="J3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13080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2026-04-03T21:05:20Z</dcterms:created>
  <dc:creator/>
  <dc:description/>
  <dc:language>de-DE</dc:language>
  <cp:lastModifiedBy/>
  <dcterms:modified xsi:type="dcterms:W3CDTF">2026-05-10T10:09:41Z</dcterms:modified>
  <cp:revision>139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